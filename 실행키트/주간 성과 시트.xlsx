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comments5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안내" sheetId="1" state="visible" r:id="rId3"/>
    <sheet name="가정" sheetId="2" state="visible" r:id="rId4"/>
    <sheet name="주간기록" sheetId="3" state="visible" r:id="rId5"/>
    <sheet name="채널요약" sheetId="4" state="visible" r:id="rId6"/>
    <sheet name="월손익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K1" authorId="0">
      <text>
        <r>
          <rPr>
            <sz val="10"/>
            <rFont val="WenQuanYi Zen Hei"/>
            <family val="2"/>
          </rPr>
          <t xml:space="preserve">실행 플랜 </t>
        </r>
        <r>
          <rPr>
            <sz val="10"/>
            <rFont val="Arial"/>
            <family val="2"/>
          </rPr>
          <t xml:space="preserve">v2, 2-3 </t>
        </r>
        <r>
          <rPr>
            <sz val="10"/>
            <rFont val="WenQuanYi Zen Hei"/>
            <family val="2"/>
          </rPr>
          <t xml:space="preserve">목표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WenQuanYi Zen Hei"/>
            <family val="2"/>
          </rPr>
          <t xml:space="preserve">가정</t>
        </r>
        <r>
          <rPr>
            <sz val="10"/>
            <rFont val="Arial"/>
            <family val="2"/>
          </rPr>
          <t xml:space="preserve">): 3</t>
        </r>
        <r>
          <rPr>
            <sz val="10"/>
            <rFont val="WenQuanYi Zen Hei"/>
            <family val="2"/>
          </rPr>
          <t xml:space="preserve">개월 차 </t>
        </r>
        <r>
          <rPr>
            <sz val="10"/>
            <rFont val="Arial"/>
            <family val="2"/>
          </rPr>
          <t xml:space="preserve">4~6</t>
        </r>
        <r>
          <rPr>
            <sz val="10"/>
            <rFont val="WenQuanYi Zen Hei"/>
            <family val="2"/>
          </rPr>
          <t xml:space="preserve">건</t>
        </r>
        <r>
          <rPr>
            <sz val="10"/>
            <rFont val="Arial"/>
            <family val="2"/>
          </rPr>
          <t xml:space="preserve">, 6</t>
        </r>
        <r>
          <rPr>
            <sz val="10"/>
            <rFont val="WenQuanYi Zen Hei"/>
            <family val="2"/>
          </rPr>
          <t xml:space="preserve">개월 차 </t>
        </r>
        <r>
          <rPr>
            <sz val="10"/>
            <rFont val="Arial"/>
            <family val="2"/>
          </rPr>
          <t xml:space="preserve">7~8</t>
        </r>
        <r>
          <rPr>
            <sz val="10"/>
            <rFont val="WenQuanYi Zen Hei"/>
            <family val="2"/>
          </rPr>
          <t xml:space="preserve">건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WenQuanYi Zen Hei"/>
            <family val="2"/>
          </rPr>
          <t xml:space="preserve">실측 후 수정하세요</t>
        </r>
        <r>
          <rPr>
            <sz val="10"/>
            <rFont val="Arial"/>
            <family val="2"/>
          </rPr>
          <t xml:space="preserve">.</t>
        </r>
      </text>
    </comment>
  </commentList>
</comments>
</file>

<file path=xl/sharedStrings.xml><?xml version="1.0" encoding="utf-8"?>
<sst xmlns="http://schemas.openxmlformats.org/spreadsheetml/2006/main" count="114" uniqueCount="97">
  <si>
    <t xml:space="preserve">주간 성과 시트 사용법</t>
  </si>
  <si>
    <r>
      <rPr>
        <sz val="11"/>
        <rFont val="Arial"/>
        <family val="0"/>
        <charset val="1"/>
      </rPr>
      <t xml:space="preserve">1. '</t>
    </r>
    <r>
      <rPr>
        <sz val="11"/>
        <rFont val="WenQuanYi Zen Hei"/>
        <family val="2"/>
      </rPr>
      <t xml:space="preserve">가정</t>
    </r>
    <r>
      <rPr>
        <sz val="11"/>
        <rFont val="Arial"/>
        <family val="0"/>
        <charset val="1"/>
      </rPr>
      <t xml:space="preserve">' </t>
    </r>
    <r>
      <rPr>
        <sz val="11"/>
        <rFont val="WenQuanYi Zen Hei"/>
        <family val="2"/>
      </rPr>
      <t xml:space="preserve">시트의 노란 칸</t>
    </r>
    <r>
      <rPr>
        <sz val="11"/>
        <rFont val="Arial"/>
        <family val="0"/>
        <charset val="1"/>
      </rPr>
      <t xml:space="preserve">(</t>
    </r>
    <r>
      <rPr>
        <sz val="11"/>
        <rFont val="WenQuanYi Zen Hei"/>
        <family val="2"/>
      </rPr>
      <t xml:space="preserve">파란 글씨</t>
    </r>
    <r>
      <rPr>
        <sz val="11"/>
        <rFont val="Arial"/>
        <family val="0"/>
        <charset val="1"/>
      </rPr>
      <t xml:space="preserve">)</t>
    </r>
    <r>
      <rPr>
        <sz val="11"/>
        <rFont val="WenQuanYi Zen Hei"/>
        <family val="2"/>
      </rPr>
      <t xml:space="preserve">만 내 숫자로 바꿉니다</t>
    </r>
    <r>
      <rPr>
        <sz val="11"/>
        <rFont val="Arial"/>
        <family val="0"/>
        <charset val="1"/>
      </rPr>
      <t xml:space="preserve">.</t>
    </r>
  </si>
  <si>
    <r>
      <rPr>
        <sz val="11"/>
        <rFont val="Arial"/>
        <family val="0"/>
        <charset val="1"/>
      </rPr>
      <t xml:space="preserve">2. </t>
    </r>
    <r>
      <rPr>
        <sz val="11"/>
        <rFont val="WenQuanYi Zen Hei"/>
        <family val="2"/>
      </rPr>
      <t xml:space="preserve">매주 월요일 </t>
    </r>
    <r>
      <rPr>
        <sz val="11"/>
        <rFont val="Arial"/>
        <family val="0"/>
        <charset val="1"/>
      </rPr>
      <t xml:space="preserve">'</t>
    </r>
    <r>
      <rPr>
        <sz val="11"/>
        <rFont val="WenQuanYi Zen Hei"/>
        <family val="2"/>
      </rPr>
      <t xml:space="preserve">주간기록</t>
    </r>
    <r>
      <rPr>
        <sz val="11"/>
        <rFont val="Arial"/>
        <family val="0"/>
        <charset val="1"/>
      </rPr>
      <t xml:space="preserve">' </t>
    </r>
    <r>
      <rPr>
        <sz val="11"/>
        <rFont val="WenQuanYi Zen Hei"/>
        <family val="2"/>
      </rPr>
      <t xml:space="preserve">시트에 채널별로 한 줄씩 입력합니다</t>
    </r>
    <r>
      <rPr>
        <sz val="11"/>
        <rFont val="Arial"/>
        <family val="0"/>
        <charset val="1"/>
      </rPr>
      <t xml:space="preserve">. </t>
    </r>
    <r>
      <rPr>
        <sz val="11"/>
        <rFont val="WenQuanYi Zen Hei"/>
        <family val="2"/>
      </rPr>
      <t xml:space="preserve">노란 칸</t>
    </r>
    <r>
      <rPr>
        <sz val="11"/>
        <rFont val="Arial"/>
        <family val="0"/>
        <charset val="1"/>
      </rPr>
      <t xml:space="preserve">(B~K</t>
    </r>
    <r>
      <rPr>
        <sz val="11"/>
        <rFont val="WenQuanYi Zen Hei"/>
        <family val="2"/>
      </rPr>
      <t xml:space="preserve">열</t>
    </r>
    <r>
      <rPr>
        <sz val="11"/>
        <rFont val="Arial"/>
        <family val="0"/>
        <charset val="1"/>
      </rPr>
      <t xml:space="preserve">)</t>
    </r>
    <r>
      <rPr>
        <sz val="11"/>
        <rFont val="WenQuanYi Zen Hei"/>
        <family val="2"/>
      </rPr>
      <t xml:space="preserve">만 입력하고</t>
    </r>
    <r>
      <rPr>
        <sz val="11"/>
        <rFont val="Arial"/>
        <family val="0"/>
        <charset val="1"/>
      </rPr>
      <t xml:space="preserve">, L</t>
    </r>
    <r>
      <rPr>
        <sz val="11"/>
        <rFont val="WenQuanYi Zen Hei"/>
        <family val="2"/>
      </rPr>
      <t xml:space="preserve">열 이후는 자동 계산입니다</t>
    </r>
    <r>
      <rPr>
        <sz val="11"/>
        <rFont val="Arial"/>
        <family val="0"/>
        <charset val="1"/>
      </rPr>
      <t xml:space="preserve">.</t>
    </r>
  </si>
  <si>
    <r>
      <rPr>
        <sz val="11"/>
        <rFont val="Arial"/>
        <family val="0"/>
        <charset val="1"/>
      </rPr>
      <t xml:space="preserve">   - </t>
    </r>
    <r>
      <rPr>
        <sz val="11"/>
        <rFont val="WenQuanYi Zen Hei"/>
        <family val="2"/>
      </rPr>
      <t xml:space="preserve">광고비</t>
    </r>
    <r>
      <rPr>
        <sz val="11"/>
        <rFont val="Arial"/>
        <family val="0"/>
        <charset val="1"/>
      </rPr>
      <t xml:space="preserve">: </t>
    </r>
    <r>
      <rPr>
        <sz val="11"/>
        <rFont val="WenQuanYi Zen Hei"/>
        <family val="2"/>
      </rPr>
      <t xml:space="preserve">광고관리자</t>
    </r>
    <r>
      <rPr>
        <sz val="11"/>
        <rFont val="Arial"/>
        <family val="0"/>
        <charset val="1"/>
      </rPr>
      <t xml:space="preserve">/</t>
    </r>
    <r>
      <rPr>
        <sz val="11"/>
        <rFont val="WenQuanYi Zen Hei"/>
        <family val="2"/>
      </rPr>
      <t xml:space="preserve">검색광고 리포트의 해당 주 소진액</t>
    </r>
    <r>
      <rPr>
        <sz val="11"/>
        <rFont val="Arial"/>
        <family val="0"/>
        <charset val="1"/>
      </rPr>
      <t xml:space="preserve">(VAT </t>
    </r>
    <r>
      <rPr>
        <sz val="11"/>
        <rFont val="WenQuanYi Zen Hei"/>
        <family val="2"/>
      </rPr>
      <t xml:space="preserve">별도로 통일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</si>
  <si>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   - </t>
    </r>
    <r>
      <rPr>
        <sz val="11"/>
        <rFont val="WenQuanYi Zen Hei"/>
        <family val="2"/>
      </rPr>
      <t xml:space="preserve">리드</t>
    </r>
    <r>
      <rPr>
        <sz val="11"/>
        <rFont val="Arial"/>
        <family val="0"/>
        <charset val="1"/>
      </rPr>
      <t xml:space="preserve">: ERP</t>
    </r>
    <r>
      <rPr>
        <sz val="11"/>
        <rFont val="WenQuanYi Zen Hei"/>
        <family val="2"/>
      </rPr>
      <t xml:space="preserve">에 들어온 건수 </t>
    </r>
    <r>
      <rPr>
        <sz val="11"/>
        <rFont val="Arial"/>
        <family val="0"/>
        <charset val="1"/>
      </rPr>
      <t xml:space="preserve">/ </t>
    </r>
    <r>
      <rPr>
        <sz val="11"/>
        <rFont val="WenQuanYi Zen Hei"/>
        <family val="2"/>
      </rPr>
      <t xml:space="preserve">연결</t>
    </r>
    <r>
      <rPr>
        <sz val="11"/>
        <rFont val="Arial"/>
        <family val="0"/>
        <charset val="1"/>
      </rPr>
      <t xml:space="preserve">: </t>
    </r>
    <r>
      <rPr>
        <sz val="11"/>
        <rFont val="WenQuanYi Zen Hei"/>
        <family val="2"/>
      </rPr>
      <t xml:space="preserve">통화가 된 건수 </t>
    </r>
    <r>
      <rPr>
        <sz val="11"/>
        <rFont val="Arial"/>
        <family val="0"/>
        <charset val="1"/>
      </rPr>
      <t xml:space="preserve">/ </t>
    </r>
    <r>
      <rPr>
        <sz val="11"/>
        <rFont val="WenQuanYi Zen Hei"/>
        <family val="2"/>
      </rPr>
      <t xml:space="preserve">유효상담</t>
    </r>
    <r>
      <rPr>
        <sz val="11"/>
        <rFont val="Arial"/>
        <family val="0"/>
        <charset val="1"/>
      </rPr>
      <t xml:space="preserve">: </t>
    </r>
    <r>
      <rPr>
        <sz val="11"/>
        <rFont val="WenQuanYi Zen Hei"/>
        <family val="2"/>
      </rPr>
      <t xml:space="preserve">통화 </t>
    </r>
    <r>
      <rPr>
        <sz val="11"/>
        <rFont val="Arial"/>
        <family val="0"/>
        <charset val="1"/>
      </rPr>
      <t xml:space="preserve">+ </t>
    </r>
    <r>
      <rPr>
        <sz val="11"/>
        <rFont val="WenQuanYi Zen Hei"/>
        <family val="2"/>
      </rPr>
      <t xml:space="preserve">차종</t>
    </r>
    <r>
      <rPr>
        <sz val="11"/>
        <rFont val="Arial"/>
        <family val="0"/>
        <charset val="1"/>
      </rPr>
      <t xml:space="preserve">·</t>
    </r>
    <r>
      <rPr>
        <sz val="11"/>
        <rFont val="WenQuanYi Zen Hei"/>
        <family val="2"/>
      </rPr>
      <t xml:space="preserve">시기</t>
    </r>
    <r>
      <rPr>
        <sz val="11"/>
        <rFont val="Arial"/>
        <family val="0"/>
        <charset val="1"/>
      </rPr>
      <t xml:space="preserve">·</t>
    </r>
    <r>
      <rPr>
        <sz val="11"/>
        <rFont val="WenQuanYi Zen Hei"/>
        <family val="2"/>
      </rPr>
      <t xml:space="preserve">자금 조건 확인</t>
    </r>
  </si>
  <si>
    <r>
      <rPr>
        <sz val="11"/>
        <rFont val="Arial"/>
        <family val="0"/>
        <charset val="1"/>
      </rPr>
      <t xml:space="preserve">   - </t>
    </r>
    <r>
      <rPr>
        <sz val="11"/>
        <rFont val="WenQuanYi Zen Hei"/>
        <family val="2"/>
      </rPr>
      <t xml:space="preserve">견적발송</t>
    </r>
    <r>
      <rPr>
        <sz val="11"/>
        <rFont val="Arial"/>
        <family val="0"/>
        <charset val="1"/>
      </rPr>
      <t xml:space="preserve">·</t>
    </r>
    <r>
      <rPr>
        <sz val="11"/>
        <rFont val="WenQuanYi Zen Hei"/>
        <family val="2"/>
      </rPr>
      <t xml:space="preserve">계약</t>
    </r>
    <r>
      <rPr>
        <sz val="11"/>
        <rFont val="Arial"/>
        <family val="0"/>
        <charset val="1"/>
      </rPr>
      <t xml:space="preserve">: </t>
    </r>
    <r>
      <rPr>
        <sz val="11"/>
        <rFont val="WenQuanYi Zen Hei"/>
        <family val="2"/>
      </rPr>
      <t xml:space="preserve">해당 주에 발생한 건수 </t>
    </r>
    <r>
      <rPr>
        <sz val="11"/>
        <rFont val="Arial"/>
        <family val="0"/>
        <charset val="1"/>
      </rPr>
      <t xml:space="preserve">/ </t>
    </r>
    <r>
      <rPr>
        <sz val="11"/>
        <rFont val="WenQuanYi Zen Hei"/>
        <family val="2"/>
      </rPr>
      <t xml:space="preserve">판촉비</t>
    </r>
    <r>
      <rPr>
        <sz val="11"/>
        <rFont val="Arial"/>
        <family val="0"/>
        <charset val="1"/>
      </rPr>
      <t xml:space="preserve">: </t>
    </r>
    <r>
      <rPr>
        <sz val="11"/>
        <rFont val="WenQuanYi Zen Hei"/>
        <family val="2"/>
      </rPr>
      <t xml:space="preserve">해당 주 계약에 쓴 판촉비 합계</t>
    </r>
  </si>
  <si>
    <r>
      <rPr>
        <sz val="11"/>
        <rFont val="Arial"/>
        <family val="0"/>
        <charset val="1"/>
      </rPr>
      <t xml:space="preserve">3. '</t>
    </r>
    <r>
      <rPr>
        <sz val="11"/>
        <rFont val="WenQuanYi Zen Hei"/>
        <family val="2"/>
      </rPr>
      <t xml:space="preserve">채널요약</t>
    </r>
    <r>
      <rPr>
        <sz val="11"/>
        <rFont val="Arial"/>
        <family val="0"/>
        <charset val="1"/>
      </rPr>
      <t xml:space="preserve">' </t>
    </r>
    <r>
      <rPr>
        <sz val="11"/>
        <rFont val="WenQuanYi Zen Hei"/>
        <family val="2"/>
      </rPr>
      <t xml:space="preserve">시트가 누적 기준으로 채널별 판정</t>
    </r>
    <r>
      <rPr>
        <sz val="11"/>
        <rFont val="Arial"/>
        <family val="0"/>
        <charset val="1"/>
      </rPr>
      <t xml:space="preserve">(</t>
    </r>
    <r>
      <rPr>
        <sz val="11"/>
        <rFont val="WenQuanYi Zen Hei"/>
        <family val="2"/>
      </rPr>
      <t xml:space="preserve">중단</t>
    </r>
    <r>
      <rPr>
        <sz val="11"/>
        <rFont val="Arial"/>
        <family val="0"/>
        <charset val="1"/>
      </rPr>
      <t xml:space="preserve">/</t>
    </r>
    <r>
      <rPr>
        <sz val="11"/>
        <rFont val="WenQuanYi Zen Hei"/>
        <family val="2"/>
      </rPr>
      <t xml:space="preserve">유지</t>
    </r>
    <r>
      <rPr>
        <sz val="11"/>
        <rFont val="Arial"/>
        <family val="0"/>
        <charset val="1"/>
      </rPr>
      <t xml:space="preserve">/</t>
    </r>
    <r>
      <rPr>
        <sz val="11"/>
        <rFont val="WenQuanYi Zen Hei"/>
        <family val="2"/>
      </rPr>
      <t xml:space="preserve">증액</t>
    </r>
    <r>
      <rPr>
        <sz val="11"/>
        <rFont val="Arial"/>
        <family val="0"/>
        <charset val="1"/>
      </rPr>
      <t xml:space="preserve">)</t>
    </r>
    <r>
      <rPr>
        <sz val="11"/>
        <rFont val="WenQuanYi Zen Hei"/>
        <family val="2"/>
      </rPr>
      <t xml:space="preserve">을 보여줍니다</t>
    </r>
    <r>
      <rPr>
        <sz val="11"/>
        <rFont val="Arial"/>
        <family val="0"/>
        <charset val="1"/>
      </rPr>
      <t xml:space="preserve">.</t>
    </r>
  </si>
  <si>
    <r>
      <rPr>
        <sz val="11"/>
        <rFont val="Arial"/>
        <family val="0"/>
        <charset val="1"/>
      </rPr>
      <t xml:space="preserve">4. '</t>
    </r>
    <r>
      <rPr>
        <sz val="11"/>
        <rFont val="WenQuanYi Zen Hei"/>
        <family val="2"/>
      </rPr>
      <t xml:space="preserve">월손익</t>
    </r>
    <r>
      <rPr>
        <sz val="11"/>
        <rFont val="Arial"/>
        <family val="0"/>
        <charset val="1"/>
      </rPr>
      <t xml:space="preserve">' </t>
    </r>
    <r>
      <rPr>
        <sz val="11"/>
        <rFont val="WenQuanYi Zen Hei"/>
        <family val="2"/>
      </rPr>
      <t xml:space="preserve">시트에 월별 계약 건수만 넣으면 순이익과 손익분기를 계산합니다</t>
    </r>
    <r>
      <rPr>
        <sz val="11"/>
        <rFont val="Arial"/>
        <family val="0"/>
        <charset val="1"/>
      </rPr>
      <t xml:space="preserve">.</t>
    </r>
  </si>
  <si>
    <r>
      <rPr>
        <b val="true"/>
        <sz val="11"/>
        <rFont val="WenQuanYi Zen Hei"/>
        <family val="2"/>
      </rPr>
      <t xml:space="preserve">판정 규칙 </t>
    </r>
    <r>
      <rPr>
        <b val="true"/>
        <sz val="11"/>
        <rFont val="Arial"/>
        <family val="0"/>
        <charset val="1"/>
      </rPr>
      <t xml:space="preserve">(</t>
    </r>
    <r>
      <rPr>
        <b val="true"/>
        <sz val="11"/>
        <rFont val="WenQuanYi Zen Hei"/>
        <family val="2"/>
      </rPr>
      <t xml:space="preserve">실행 플랜 </t>
    </r>
    <r>
      <rPr>
        <b val="true"/>
        <sz val="11"/>
        <rFont val="Arial"/>
        <family val="0"/>
        <charset val="1"/>
      </rPr>
      <t xml:space="preserve">v2, 4-2)</t>
    </r>
  </si>
  <si>
    <r>
      <rPr>
        <sz val="11"/>
        <rFont val="Arial"/>
        <family val="0"/>
        <charset val="1"/>
      </rPr>
      <t xml:space="preserve">- </t>
    </r>
    <r>
      <rPr>
        <sz val="11"/>
        <rFont val="WenQuanYi Zen Hei"/>
        <family val="2"/>
      </rPr>
      <t xml:space="preserve">누적 광고비 </t>
    </r>
    <r>
      <rPr>
        <sz val="11"/>
        <rFont val="Arial"/>
        <family val="0"/>
        <charset val="1"/>
      </rPr>
      <t xml:space="preserve">30</t>
    </r>
    <r>
      <rPr>
        <sz val="11"/>
        <rFont val="WenQuanYi Zen Hei"/>
        <family val="2"/>
      </rPr>
      <t xml:space="preserve">만 원 미만이고 리드 </t>
    </r>
    <r>
      <rPr>
        <sz val="11"/>
        <rFont val="Arial"/>
        <family val="0"/>
        <charset val="1"/>
      </rPr>
      <t xml:space="preserve">10</t>
    </r>
    <r>
      <rPr>
        <sz val="11"/>
        <rFont val="WenQuanYi Zen Hei"/>
        <family val="2"/>
      </rPr>
      <t xml:space="preserve">건 미만이면 </t>
    </r>
    <r>
      <rPr>
        <sz val="11"/>
        <rFont val="Arial"/>
        <family val="0"/>
        <charset val="1"/>
      </rPr>
      <t xml:space="preserve">'</t>
    </r>
    <r>
      <rPr>
        <sz val="11"/>
        <rFont val="WenQuanYi Zen Hei"/>
        <family val="2"/>
      </rPr>
      <t xml:space="preserve">판단 보류</t>
    </r>
    <r>
      <rPr>
        <sz val="11"/>
        <rFont val="Arial"/>
        <family val="0"/>
        <charset val="1"/>
      </rPr>
      <t xml:space="preserve">'</t>
    </r>
  </si>
  <si>
    <r>
      <rPr>
        <sz val="11"/>
        <rFont val="Arial"/>
        <family val="0"/>
        <charset val="1"/>
      </rPr>
      <t xml:space="preserve">- </t>
    </r>
    <r>
      <rPr>
        <sz val="11"/>
        <rFont val="WenQuanYi Zen Hei"/>
        <family val="2"/>
      </rPr>
      <t xml:space="preserve">유효상담 </t>
    </r>
    <r>
      <rPr>
        <sz val="11"/>
        <rFont val="Arial"/>
        <family val="0"/>
        <charset val="1"/>
      </rPr>
      <t xml:space="preserve">1</t>
    </r>
    <r>
      <rPr>
        <sz val="11"/>
        <rFont val="WenQuanYi Zen Hei"/>
        <family val="2"/>
      </rPr>
      <t xml:space="preserve">건당 비용 </t>
    </r>
    <r>
      <rPr>
        <sz val="11"/>
        <rFont val="Arial"/>
        <family val="0"/>
        <charset val="1"/>
      </rPr>
      <t xml:space="preserve">&gt; </t>
    </r>
    <r>
      <rPr>
        <sz val="11"/>
        <rFont val="WenQuanYi Zen Hei"/>
        <family val="2"/>
      </rPr>
      <t xml:space="preserve">기준값 </t>
    </r>
    <r>
      <rPr>
        <sz val="11"/>
        <rFont val="Arial"/>
        <family val="0"/>
        <charset val="1"/>
      </rPr>
      <t xml:space="preserve">B</t>
    </r>
    <r>
      <rPr>
        <sz val="11"/>
        <rFont val="WenQuanYi Zen Hei"/>
        <family val="2"/>
      </rPr>
      <t xml:space="preserve">의 </t>
    </r>
    <r>
      <rPr>
        <sz val="11"/>
        <rFont val="Arial"/>
        <family val="0"/>
        <charset val="1"/>
      </rPr>
      <t xml:space="preserve">2</t>
    </r>
    <r>
      <rPr>
        <sz val="11"/>
        <rFont val="WenQuanYi Zen Hei"/>
        <family val="2"/>
      </rPr>
      <t xml:space="preserve">배 → </t>
    </r>
    <r>
      <rPr>
        <sz val="11"/>
        <rFont val="Arial"/>
        <family val="0"/>
        <charset val="1"/>
      </rPr>
      <t xml:space="preserve">'</t>
    </r>
    <r>
      <rPr>
        <sz val="11"/>
        <rFont val="WenQuanYi Zen Hei"/>
        <family val="2"/>
      </rPr>
      <t xml:space="preserve">중단</t>
    </r>
    <r>
      <rPr>
        <sz val="11"/>
        <rFont val="Arial"/>
        <family val="0"/>
        <charset val="1"/>
      </rPr>
      <t xml:space="preserve">'</t>
    </r>
  </si>
  <si>
    <r>
      <rPr>
        <sz val="11"/>
        <rFont val="Arial"/>
        <family val="0"/>
        <charset val="1"/>
      </rPr>
      <t xml:space="preserve">- </t>
    </r>
    <r>
      <rPr>
        <sz val="11"/>
        <rFont val="WenQuanYi Zen Hei"/>
        <family val="2"/>
      </rPr>
      <t xml:space="preserve">유효상담 </t>
    </r>
    <r>
      <rPr>
        <sz val="11"/>
        <rFont val="Arial"/>
        <family val="0"/>
        <charset val="1"/>
      </rPr>
      <t xml:space="preserve">1</t>
    </r>
    <r>
      <rPr>
        <sz val="11"/>
        <rFont val="WenQuanYi Zen Hei"/>
        <family val="2"/>
      </rPr>
      <t xml:space="preserve">건당 비용 ≤ </t>
    </r>
    <r>
      <rPr>
        <sz val="11"/>
        <rFont val="Arial"/>
        <family val="0"/>
        <charset val="1"/>
      </rPr>
      <t xml:space="preserve">B → '</t>
    </r>
    <r>
      <rPr>
        <sz val="11"/>
        <rFont val="WenQuanYi Zen Hei"/>
        <family val="2"/>
      </rPr>
      <t xml:space="preserve">증액</t>
    </r>
    <r>
      <rPr>
        <sz val="11"/>
        <rFont val="Arial"/>
        <family val="0"/>
        <charset val="1"/>
      </rPr>
      <t xml:space="preserve">(</t>
    </r>
    <r>
      <rPr>
        <sz val="11"/>
        <rFont val="WenQuanYi Zen Hei"/>
        <family val="2"/>
      </rPr>
      <t xml:space="preserve">주 </t>
    </r>
    <r>
      <rPr>
        <sz val="11"/>
        <rFont val="Arial"/>
        <family val="0"/>
        <charset val="1"/>
      </rPr>
      <t xml:space="preserve">20~30%)'</t>
    </r>
  </si>
  <si>
    <r>
      <rPr>
        <sz val="11"/>
        <rFont val="Arial"/>
        <family val="0"/>
        <charset val="1"/>
      </rPr>
      <t xml:space="preserve">- </t>
    </r>
    <r>
      <rPr>
        <sz val="11"/>
        <rFont val="WenQuanYi Zen Hei"/>
        <family val="2"/>
      </rPr>
      <t xml:space="preserve">그 사이 → </t>
    </r>
    <r>
      <rPr>
        <sz val="11"/>
        <rFont val="Arial"/>
        <family val="0"/>
        <charset val="1"/>
      </rPr>
      <t xml:space="preserve">'</t>
    </r>
    <r>
      <rPr>
        <sz val="11"/>
        <rFont val="WenQuanYi Zen Hei"/>
        <family val="2"/>
      </rPr>
      <t xml:space="preserve">유지</t>
    </r>
    <r>
      <rPr>
        <sz val="11"/>
        <rFont val="Arial"/>
        <family val="0"/>
        <charset val="1"/>
      </rPr>
      <t xml:space="preserve">·</t>
    </r>
    <r>
      <rPr>
        <sz val="11"/>
        <rFont val="WenQuanYi Zen Hei"/>
        <family val="2"/>
      </rPr>
      <t xml:space="preserve">소재 </t>
    </r>
    <r>
      <rPr>
        <sz val="11"/>
        <rFont val="Arial"/>
        <family val="0"/>
        <charset val="1"/>
      </rPr>
      <t xml:space="preserve">1</t>
    </r>
    <r>
      <rPr>
        <sz val="11"/>
        <rFont val="WenQuanYi Zen Hei"/>
        <family val="2"/>
      </rPr>
      <t xml:space="preserve">개 교체</t>
    </r>
    <r>
      <rPr>
        <sz val="11"/>
        <rFont val="Arial"/>
        <family val="0"/>
        <charset val="1"/>
      </rPr>
      <t xml:space="preserve">'</t>
    </r>
  </si>
  <si>
    <r>
      <rPr>
        <sz val="11"/>
        <rFont val="Arial"/>
        <family val="0"/>
        <charset val="1"/>
      </rPr>
      <t xml:space="preserve">- 8</t>
    </r>
    <r>
      <rPr>
        <sz val="11"/>
        <rFont val="WenQuanYi Zen Hei"/>
        <family val="2"/>
      </rPr>
      <t xml:space="preserve">주 차부터</t>
    </r>
    <r>
      <rPr>
        <sz val="11"/>
        <rFont val="Arial"/>
        <family val="0"/>
        <charset val="1"/>
      </rPr>
      <t xml:space="preserve">: </t>
    </r>
    <r>
      <rPr>
        <sz val="11"/>
        <rFont val="WenQuanYi Zen Hei"/>
        <family val="2"/>
      </rPr>
      <t xml:space="preserve">계약당 비용 </t>
    </r>
    <r>
      <rPr>
        <sz val="11"/>
        <rFont val="Arial"/>
        <family val="0"/>
        <charset val="1"/>
      </rPr>
      <t xml:space="preserve">&gt; </t>
    </r>
    <r>
      <rPr>
        <sz val="11"/>
        <rFont val="WenQuanYi Zen Hei"/>
        <family val="2"/>
      </rPr>
      <t xml:space="preserve">목표 계약당 비용</t>
    </r>
    <r>
      <rPr>
        <sz val="11"/>
        <rFont val="Arial"/>
        <family val="0"/>
        <charset val="1"/>
      </rPr>
      <t xml:space="preserve">(</t>
    </r>
    <r>
      <rPr>
        <sz val="11"/>
        <rFont val="WenQuanYi Zen Hei"/>
        <family val="2"/>
      </rPr>
      <t xml:space="preserve">건당 순공헌 </t>
    </r>
    <r>
      <rPr>
        <sz val="11"/>
        <rFont val="Arial"/>
        <family val="0"/>
        <charset val="1"/>
      </rPr>
      <t xml:space="preserve">× 50%) → '</t>
    </r>
    <r>
      <rPr>
        <sz val="11"/>
        <rFont val="WenQuanYi Zen Hei"/>
        <family val="2"/>
      </rPr>
      <t xml:space="preserve">중단</t>
    </r>
    <r>
      <rPr>
        <sz val="11"/>
        <rFont val="Arial"/>
        <family val="0"/>
        <charset val="1"/>
      </rPr>
      <t xml:space="preserve">'</t>
    </r>
  </si>
  <si>
    <r>
      <rPr>
        <sz val="11"/>
        <rFont val="Arial"/>
        <family val="0"/>
        <charset val="1"/>
      </rPr>
      <t xml:space="preserve">- </t>
    </r>
    <r>
      <rPr>
        <sz val="11"/>
        <rFont val="WenQuanYi Zen Hei"/>
        <family val="2"/>
      </rPr>
      <t xml:space="preserve">기준값 </t>
    </r>
    <r>
      <rPr>
        <sz val="11"/>
        <rFont val="Arial"/>
        <family val="0"/>
        <charset val="1"/>
      </rPr>
      <t xml:space="preserve">B = </t>
    </r>
    <r>
      <rPr>
        <sz val="11"/>
        <rFont val="WenQuanYi Zen Hei"/>
        <family val="2"/>
      </rPr>
      <t xml:space="preserve">구매</t>
    </r>
    <r>
      <rPr>
        <sz val="11"/>
        <rFont val="Arial"/>
        <family val="0"/>
        <charset val="1"/>
      </rPr>
      <t xml:space="preserve">DB</t>
    </r>
    <r>
      <rPr>
        <sz val="11"/>
        <rFont val="WenQuanYi Zen Hei"/>
        <family val="2"/>
      </rPr>
      <t xml:space="preserve">의 누적 유효상담 </t>
    </r>
    <r>
      <rPr>
        <sz val="11"/>
        <rFont val="Arial"/>
        <family val="0"/>
        <charset val="1"/>
      </rPr>
      <t xml:space="preserve">1</t>
    </r>
    <r>
      <rPr>
        <sz val="11"/>
        <rFont val="WenQuanYi Zen Hei"/>
        <family val="2"/>
      </rPr>
      <t xml:space="preserve">건당 비용 </t>
    </r>
    <r>
      <rPr>
        <sz val="11"/>
        <rFont val="Arial"/>
        <family val="0"/>
        <charset val="1"/>
      </rPr>
      <t xml:space="preserve">(DB </t>
    </r>
    <r>
      <rPr>
        <sz val="11"/>
        <rFont val="WenQuanYi Zen Hei"/>
        <family val="2"/>
      </rPr>
      <t xml:space="preserve">데이터가 없으면 </t>
    </r>
    <r>
      <rPr>
        <sz val="11"/>
        <rFont val="Arial"/>
        <family val="0"/>
        <charset val="1"/>
      </rPr>
      <t xml:space="preserve">'</t>
    </r>
    <r>
      <rPr>
        <sz val="11"/>
        <rFont val="WenQuanYi Zen Hei"/>
        <family val="2"/>
      </rPr>
      <t xml:space="preserve">가정</t>
    </r>
    <r>
      <rPr>
        <sz val="11"/>
        <rFont val="Arial"/>
        <family val="0"/>
        <charset val="1"/>
      </rPr>
      <t xml:space="preserve">' </t>
    </r>
    <r>
      <rPr>
        <sz val="11"/>
        <rFont val="WenQuanYi Zen Hei"/>
        <family val="2"/>
      </rPr>
      <t xml:space="preserve">시트의 임시 </t>
    </r>
    <r>
      <rPr>
        <sz val="11"/>
        <rFont val="Arial"/>
        <family val="0"/>
        <charset val="1"/>
      </rPr>
      <t xml:space="preserve">B </t>
    </r>
    <r>
      <rPr>
        <sz val="11"/>
        <rFont val="WenQuanYi Zen Hei"/>
        <family val="2"/>
      </rPr>
      <t xml:space="preserve">사용</t>
    </r>
    <r>
      <rPr>
        <sz val="11"/>
        <rFont val="Arial"/>
        <family val="0"/>
        <charset val="1"/>
      </rPr>
      <t xml:space="preserve">)</t>
    </r>
  </si>
  <si>
    <r>
      <rPr>
        <b val="true"/>
        <sz val="11"/>
        <color rgb="FFC00000"/>
        <rFont val="WenQuanYi Zen Hei"/>
        <family val="2"/>
      </rPr>
      <t xml:space="preserve">주간기록 </t>
    </r>
    <r>
      <rPr>
        <b val="true"/>
        <sz val="11"/>
        <color rgb="FFC00000"/>
        <rFont val="Arial"/>
        <family val="0"/>
        <charset val="1"/>
      </rPr>
      <t xml:space="preserve">2~4</t>
    </r>
    <r>
      <rPr>
        <b val="true"/>
        <sz val="11"/>
        <color rgb="FFC00000"/>
        <rFont val="WenQuanYi Zen Hei"/>
        <family val="2"/>
      </rPr>
      <t xml:space="preserve">행은 입력 형식을 보여주는 예시입니다</t>
    </r>
    <r>
      <rPr>
        <b val="true"/>
        <sz val="11"/>
        <color rgb="FFC00000"/>
        <rFont val="Arial"/>
        <family val="0"/>
        <charset val="1"/>
      </rPr>
      <t xml:space="preserve">. </t>
    </r>
    <r>
      <rPr>
        <b val="true"/>
        <sz val="11"/>
        <color rgb="FFC00000"/>
        <rFont val="WenQuanYi Zen Hei"/>
        <family val="2"/>
      </rPr>
      <t xml:space="preserve">실제 입력 전에 지우세요</t>
    </r>
    <r>
      <rPr>
        <b val="true"/>
        <sz val="11"/>
        <color rgb="FFC00000"/>
        <rFont val="Arial"/>
        <family val="0"/>
        <charset val="1"/>
      </rPr>
      <t xml:space="preserve">.</t>
    </r>
  </si>
  <si>
    <t xml:space="preserve">항목</t>
  </si>
  <si>
    <t xml:space="preserve">값</t>
  </si>
  <si>
    <r>
      <rPr>
        <b val="true"/>
        <sz val="11"/>
        <color rgb="FFFFFFFF"/>
        <rFont val="WenQuanYi Zen Hei"/>
        <family val="2"/>
      </rPr>
      <t xml:space="preserve">설명</t>
    </r>
    <r>
      <rPr>
        <b val="true"/>
        <sz val="11"/>
        <color rgb="FFFFFFFF"/>
        <rFont val="Arial"/>
        <family val="0"/>
        <charset val="1"/>
      </rPr>
      <t xml:space="preserve">·</t>
    </r>
    <r>
      <rPr>
        <b val="true"/>
        <sz val="11"/>
        <color rgb="FFFFFFFF"/>
        <rFont val="WenQuanYi Zen Hei"/>
        <family val="2"/>
      </rPr>
      <t xml:space="preserve">출처</t>
    </r>
  </si>
  <si>
    <r>
      <rPr>
        <sz val="11"/>
        <rFont val="WenQuanYi Zen Hei"/>
        <family val="2"/>
      </rPr>
      <t xml:space="preserve">건당 순공헌 </t>
    </r>
    <r>
      <rPr>
        <sz val="11"/>
        <rFont val="Arial"/>
        <family val="0"/>
        <charset val="1"/>
      </rPr>
      <t xml:space="preserve">m</t>
    </r>
  </si>
  <si>
    <r>
      <rPr>
        <sz val="11"/>
        <rFont val="WenQuanYi Zen Hei"/>
        <family val="2"/>
      </rPr>
      <t xml:space="preserve">사용자 지정 가정</t>
    </r>
    <r>
      <rPr>
        <sz val="11"/>
        <rFont val="Arial"/>
        <family val="0"/>
        <charset val="1"/>
      </rPr>
      <t xml:space="preserve">(2026</t>
    </r>
    <r>
      <rPr>
        <sz val="11"/>
        <rFont val="WenQuanYi Zen Hei"/>
        <family val="2"/>
      </rPr>
      <t xml:space="preserve">년 실적 건당 약 </t>
    </r>
    <r>
      <rPr>
        <sz val="11"/>
        <rFont val="Arial"/>
        <family val="0"/>
        <charset val="1"/>
      </rPr>
      <t xml:space="preserve">168</t>
    </r>
    <r>
      <rPr>
        <sz val="11"/>
        <rFont val="WenQuanYi Zen Hei"/>
        <family val="2"/>
      </rPr>
      <t xml:space="preserve">만 원을 보수적으로 </t>
    </r>
    <r>
      <rPr>
        <sz val="11"/>
        <rFont val="Arial"/>
        <family val="0"/>
        <charset val="1"/>
      </rPr>
      <t xml:space="preserve">130</t>
    </r>
    <r>
      <rPr>
        <sz val="11"/>
        <rFont val="WenQuanYi Zen Hei"/>
        <family val="2"/>
      </rPr>
      <t xml:space="preserve">만 원으로</t>
    </r>
    <r>
      <rPr>
        <sz val="11"/>
        <rFont val="Arial"/>
        <family val="0"/>
        <charset val="1"/>
      </rPr>
      <t xml:space="preserve">)</t>
    </r>
  </si>
  <si>
    <r>
      <rPr>
        <sz val="11"/>
        <rFont val="WenQuanYi Zen Hei"/>
        <family val="2"/>
      </rPr>
      <t xml:space="preserve">구매 </t>
    </r>
    <r>
      <rPr>
        <sz val="11"/>
        <rFont val="Arial"/>
        <family val="0"/>
        <charset val="1"/>
      </rPr>
      <t xml:space="preserve">DB </t>
    </r>
    <r>
      <rPr>
        <sz val="11"/>
        <rFont val="WenQuanYi Zen Hei"/>
        <family val="2"/>
      </rPr>
      <t xml:space="preserve">단가</t>
    </r>
  </si>
  <si>
    <t xml:space="preserve">사용자 제공</t>
  </si>
  <si>
    <t xml:space="preserve">목표 계약당 비용 비율</t>
  </si>
  <si>
    <r>
      <rPr>
        <sz val="11"/>
        <rFont val="WenQuanYi Zen Hei"/>
        <family val="2"/>
      </rPr>
      <t xml:space="preserve">계약 </t>
    </r>
    <r>
      <rPr>
        <sz val="11"/>
        <rFont val="Arial"/>
        <family val="0"/>
        <charset val="1"/>
      </rPr>
      <t xml:space="preserve">1</t>
    </r>
    <r>
      <rPr>
        <sz val="11"/>
        <rFont val="WenQuanYi Zen Hei"/>
        <family val="2"/>
      </rPr>
      <t xml:space="preserve">건에 </t>
    </r>
    <r>
      <rPr>
        <sz val="11"/>
        <rFont val="Arial"/>
        <family val="0"/>
        <charset val="1"/>
      </rPr>
      <t xml:space="preserve">m</t>
    </r>
    <r>
      <rPr>
        <sz val="11"/>
        <rFont val="WenQuanYi Zen Hei"/>
        <family val="2"/>
      </rPr>
      <t xml:space="preserve">의 </t>
    </r>
    <r>
      <rPr>
        <sz val="11"/>
        <rFont val="Arial"/>
        <family val="0"/>
        <charset val="1"/>
      </rPr>
      <t xml:space="preserve">50%</t>
    </r>
    <r>
      <rPr>
        <sz val="11"/>
        <rFont val="WenQuanYi Zen Hei"/>
        <family val="2"/>
      </rPr>
      <t xml:space="preserve">까지만 광고비 사용</t>
    </r>
    <r>
      <rPr>
        <sz val="11"/>
        <rFont val="Arial"/>
        <family val="0"/>
        <charset val="1"/>
      </rPr>
      <t xml:space="preserve">(</t>
    </r>
    <r>
      <rPr>
        <sz val="11"/>
        <rFont val="WenQuanYi Zen Hei"/>
        <family val="2"/>
      </rPr>
      <t xml:space="preserve">권고값</t>
    </r>
    <r>
      <rPr>
        <sz val="11"/>
        <rFont val="Arial"/>
        <family val="0"/>
        <charset val="1"/>
      </rPr>
      <t xml:space="preserve">)</t>
    </r>
  </si>
  <si>
    <t xml:space="preserve">월 도구비</t>
  </si>
  <si>
    <r>
      <rPr>
        <sz val="11"/>
        <rFont val="Arial"/>
        <family val="0"/>
        <charset val="1"/>
      </rPr>
      <t xml:space="preserve">Claude MAX 5x + n8n + </t>
    </r>
    <r>
      <rPr>
        <sz val="11"/>
        <rFont val="WenQuanYi Zen Hei"/>
        <family val="2"/>
      </rPr>
      <t xml:space="preserve">알림톡 </t>
    </r>
    <r>
      <rPr>
        <sz val="11"/>
        <rFont val="Arial"/>
        <family val="0"/>
        <charset val="1"/>
      </rPr>
      <t xml:space="preserve">+ </t>
    </r>
    <r>
      <rPr>
        <sz val="11"/>
        <rFont val="WenQuanYi Zen Hei"/>
        <family val="2"/>
      </rPr>
      <t xml:space="preserve">편집</t>
    </r>
    <r>
      <rPr>
        <sz val="11"/>
        <rFont val="Arial"/>
        <family val="0"/>
        <charset val="1"/>
      </rPr>
      <t xml:space="preserve">·</t>
    </r>
    <r>
      <rPr>
        <sz val="11"/>
        <rFont val="WenQuanYi Zen Hei"/>
        <family val="2"/>
      </rPr>
      <t xml:space="preserve">생성 도구 추정치</t>
    </r>
    <r>
      <rPr>
        <sz val="11"/>
        <rFont val="Arial"/>
        <family val="0"/>
        <charset val="1"/>
      </rPr>
      <t xml:space="preserve">(</t>
    </r>
    <r>
      <rPr>
        <sz val="11"/>
        <rFont val="WenQuanYi Zen Hei"/>
        <family val="2"/>
      </rPr>
      <t xml:space="preserve">실행 플랜 </t>
    </r>
    <r>
      <rPr>
        <sz val="11"/>
        <rFont val="Arial"/>
        <family val="0"/>
        <charset val="1"/>
      </rPr>
      <t xml:space="preserve">v2, 6-2)</t>
    </r>
  </si>
  <si>
    <r>
      <rPr>
        <sz val="11"/>
        <rFont val="WenQuanYi Zen Hei"/>
        <family val="2"/>
      </rPr>
      <t xml:space="preserve">임시 기준값 </t>
    </r>
    <r>
      <rPr>
        <sz val="11"/>
        <rFont val="Arial"/>
        <family val="0"/>
        <charset val="1"/>
      </rPr>
      <t xml:space="preserve">B (</t>
    </r>
    <r>
      <rPr>
        <sz val="11"/>
        <rFont val="WenQuanYi Zen Hei"/>
        <family val="2"/>
      </rPr>
      <t xml:space="preserve">유효상담당 비용</t>
    </r>
    <r>
      <rPr>
        <sz val="11"/>
        <rFont val="Arial"/>
        <family val="0"/>
        <charset val="1"/>
      </rPr>
      <t xml:space="preserve">)</t>
    </r>
  </si>
  <si>
    <r>
      <rPr>
        <sz val="11"/>
        <rFont val="WenQuanYi Zen Hei"/>
        <family val="2"/>
      </rPr>
      <t xml:space="preserve">구매</t>
    </r>
    <r>
      <rPr>
        <sz val="11"/>
        <rFont val="Arial"/>
        <family val="0"/>
        <charset val="1"/>
      </rPr>
      <t xml:space="preserve">DB </t>
    </r>
    <r>
      <rPr>
        <sz val="11"/>
        <rFont val="WenQuanYi Zen Hei"/>
        <family val="2"/>
      </rPr>
      <t xml:space="preserve">실측 전 임시값</t>
    </r>
    <r>
      <rPr>
        <sz val="11"/>
        <rFont val="Arial"/>
        <family val="0"/>
        <charset val="1"/>
      </rPr>
      <t xml:space="preserve">(</t>
    </r>
    <r>
      <rPr>
        <sz val="11"/>
        <rFont val="WenQuanYi Zen Hei"/>
        <family val="2"/>
      </rPr>
      <t xml:space="preserve">가정</t>
    </r>
    <r>
      <rPr>
        <sz val="11"/>
        <rFont val="Arial"/>
        <family val="0"/>
        <charset val="1"/>
      </rPr>
      <t xml:space="preserve">). DB </t>
    </r>
    <r>
      <rPr>
        <sz val="11"/>
        <rFont val="WenQuanYi Zen Hei"/>
        <family val="2"/>
      </rPr>
      <t xml:space="preserve">데이터가 쌓이면 아래 </t>
    </r>
    <r>
      <rPr>
        <sz val="11"/>
        <rFont val="Arial"/>
        <family val="0"/>
        <charset val="1"/>
      </rPr>
      <t xml:space="preserve">B</t>
    </r>
    <r>
      <rPr>
        <sz val="11"/>
        <rFont val="WenQuanYi Zen Hei"/>
        <family val="2"/>
      </rPr>
      <t xml:space="preserve">를 자동 사용</t>
    </r>
  </si>
  <si>
    <t xml:space="preserve">판정 최소 광고비</t>
  </si>
  <si>
    <t xml:space="preserve">권고 규칙</t>
  </si>
  <si>
    <t xml:space="preserve">판정 최소 리드 수</t>
  </si>
  <si>
    <t xml:space="preserve">계약당 비용 판정 시작 주차</t>
  </si>
  <si>
    <r>
      <rPr>
        <sz val="11"/>
        <rFont val="WenQuanYi Zen Hei"/>
        <family val="2"/>
      </rPr>
      <t xml:space="preserve">결정 기간</t>
    </r>
    <r>
      <rPr>
        <sz val="11"/>
        <rFont val="Arial"/>
        <family val="0"/>
        <charset val="1"/>
      </rPr>
      <t xml:space="preserve">(2~4</t>
    </r>
    <r>
      <rPr>
        <sz val="11"/>
        <rFont val="WenQuanYi Zen Hei"/>
        <family val="2"/>
      </rPr>
      <t xml:space="preserve">주</t>
    </r>
    <r>
      <rPr>
        <sz val="11"/>
        <rFont val="Arial"/>
        <family val="0"/>
        <charset val="1"/>
      </rPr>
      <t xml:space="preserve">)</t>
    </r>
    <r>
      <rPr>
        <sz val="11"/>
        <rFont val="WenQuanYi Zen Hei"/>
        <family val="2"/>
      </rPr>
      <t xml:space="preserve">을 고려한 권고값</t>
    </r>
  </si>
  <si>
    <t xml:space="preserve">계산값</t>
  </si>
  <si>
    <t xml:space="preserve">목표 계약당 비용</t>
  </si>
  <si>
    <r>
      <rPr>
        <sz val="11"/>
        <rFont val="WenQuanYi Zen Hei"/>
        <family val="2"/>
      </rPr>
      <t xml:space="preserve">건당 순공헌 </t>
    </r>
    <r>
      <rPr>
        <sz val="11"/>
        <rFont val="Arial"/>
        <family val="0"/>
        <charset val="1"/>
      </rPr>
      <t xml:space="preserve">× </t>
    </r>
    <r>
      <rPr>
        <sz val="11"/>
        <rFont val="WenQuanYi Zen Hei"/>
        <family val="2"/>
      </rPr>
      <t xml:space="preserve">목표 비율</t>
    </r>
  </si>
  <si>
    <r>
      <rPr>
        <sz val="11"/>
        <rFont val="WenQuanYi Zen Hei"/>
        <family val="2"/>
      </rPr>
      <t xml:space="preserve">구매</t>
    </r>
    <r>
      <rPr>
        <sz val="11"/>
        <rFont val="Arial"/>
        <family val="0"/>
        <charset val="1"/>
      </rPr>
      <t xml:space="preserve">DB </t>
    </r>
    <r>
      <rPr>
        <sz val="11"/>
        <rFont val="WenQuanYi Zen Hei"/>
        <family val="2"/>
      </rPr>
      <t xml:space="preserve">본전 전환율</t>
    </r>
  </si>
  <si>
    <r>
      <rPr>
        <sz val="11"/>
        <rFont val="WenQuanYi Zen Hei"/>
        <family val="2"/>
      </rPr>
      <t xml:space="preserve">구매 </t>
    </r>
    <r>
      <rPr>
        <sz val="11"/>
        <rFont val="Arial"/>
        <family val="0"/>
        <charset val="1"/>
      </rPr>
      <t xml:space="preserve">DB </t>
    </r>
    <r>
      <rPr>
        <sz val="11"/>
        <rFont val="WenQuanYi Zen Hei"/>
        <family val="2"/>
      </rPr>
      <t xml:space="preserve">리드→계약 전환율이 이 값보다 낮으면 손해</t>
    </r>
  </si>
  <si>
    <r>
      <rPr>
        <sz val="11"/>
        <rFont val="WenQuanYi Zen Hei"/>
        <family val="2"/>
      </rPr>
      <t xml:space="preserve">기준값 </t>
    </r>
    <r>
      <rPr>
        <sz val="11"/>
        <rFont val="Arial"/>
        <family val="0"/>
        <charset val="1"/>
      </rPr>
      <t xml:space="preserve">B (</t>
    </r>
    <r>
      <rPr>
        <sz val="11"/>
        <rFont val="WenQuanYi Zen Hei"/>
        <family val="2"/>
      </rPr>
      <t xml:space="preserve">적용</t>
    </r>
    <r>
      <rPr>
        <sz val="11"/>
        <rFont val="Arial"/>
        <family val="0"/>
        <charset val="1"/>
      </rPr>
      <t xml:space="preserve">)</t>
    </r>
  </si>
  <si>
    <r>
      <rPr>
        <sz val="11"/>
        <rFont val="WenQuanYi Zen Hei"/>
        <family val="2"/>
      </rPr>
      <t xml:space="preserve">구매</t>
    </r>
    <r>
      <rPr>
        <sz val="11"/>
        <rFont val="Arial"/>
        <family val="0"/>
        <charset val="1"/>
      </rPr>
      <t xml:space="preserve">DB </t>
    </r>
    <r>
      <rPr>
        <sz val="11"/>
        <rFont val="WenQuanYi Zen Hei"/>
        <family val="2"/>
      </rPr>
      <t xml:space="preserve">누적 유효상담당 비용</t>
    </r>
    <r>
      <rPr>
        <sz val="11"/>
        <rFont val="Arial"/>
        <family val="0"/>
        <charset val="1"/>
      </rPr>
      <t xml:space="preserve">(</t>
    </r>
    <r>
      <rPr>
        <sz val="11"/>
        <rFont val="WenQuanYi Zen Hei"/>
        <family val="2"/>
      </rPr>
      <t xml:space="preserve">데이터 없으면 임시값</t>
    </r>
    <r>
      <rPr>
        <sz val="11"/>
        <rFont val="Arial"/>
        <family val="0"/>
        <charset val="1"/>
      </rPr>
      <t xml:space="preserve">)</t>
    </r>
  </si>
  <si>
    <t xml:space="preserve">주차</t>
  </si>
  <si>
    <t xml:space="preserve">주 시작일</t>
  </si>
  <si>
    <t xml:space="preserve">담당</t>
  </si>
  <si>
    <t xml:space="preserve">채널</t>
  </si>
  <si>
    <t xml:space="preserve">광고비</t>
  </si>
  <si>
    <t xml:space="preserve">리드</t>
  </si>
  <si>
    <t xml:space="preserve">연결</t>
  </si>
  <si>
    <t xml:space="preserve">유효상담</t>
  </si>
  <si>
    <t xml:space="preserve">견적발송</t>
  </si>
  <si>
    <t xml:space="preserve">계약</t>
  </si>
  <si>
    <t xml:space="preserve">판촉비</t>
  </si>
  <si>
    <t xml:space="preserve">리드단가</t>
  </si>
  <si>
    <t xml:space="preserve">연결률</t>
  </si>
  <si>
    <t xml:space="preserve">유효상담률</t>
  </si>
  <si>
    <t xml:space="preserve">유효상담당 비용</t>
  </si>
  <si>
    <r>
      <rPr>
        <b val="true"/>
        <sz val="11"/>
        <color rgb="FFFFFFFF"/>
        <rFont val="WenQuanYi Zen Hei"/>
        <family val="2"/>
      </rPr>
      <t xml:space="preserve">계약당 비용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WenQuanYi Zen Hei"/>
        <family val="2"/>
      </rPr>
      <t xml:space="preserve">광고비</t>
    </r>
    <r>
      <rPr>
        <b val="true"/>
        <sz val="11"/>
        <color rgb="FFFFFFFF"/>
        <rFont val="Arial"/>
        <family val="0"/>
        <charset val="1"/>
      </rPr>
      <t xml:space="preserve">+</t>
    </r>
    <r>
      <rPr>
        <b val="true"/>
        <sz val="11"/>
        <color rgb="FFFFFFFF"/>
        <rFont val="WenQuanYi Zen Hei"/>
        <family val="2"/>
      </rPr>
      <t xml:space="preserve">판촉비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</si>
  <si>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WenQuanYi Zen Hei"/>
        <family val="2"/>
      </rPr>
      <t xml:space="preserve">세부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WenQuanYi Zen Hei"/>
        <family val="2"/>
      </rPr>
      <t xml:space="preserve">키워드</t>
    </r>
    <r>
      <rPr>
        <b val="true"/>
        <sz val="11"/>
        <color rgb="FFFFFFFF"/>
        <rFont val="Arial"/>
        <family val="0"/>
        <charset val="1"/>
      </rPr>
      <t xml:space="preserve">·</t>
    </r>
    <r>
      <rPr>
        <b val="true"/>
        <sz val="11"/>
        <color rgb="FFFFFFFF"/>
        <rFont val="WenQuanYi Zen Hei"/>
        <family val="2"/>
      </rPr>
      <t xml:space="preserve">소재</t>
    </r>
    <r>
      <rPr>
        <b val="true"/>
        <sz val="11"/>
        <color rgb="FFFFFFFF"/>
        <rFont val="Arial"/>
        <family val="0"/>
        <charset val="1"/>
      </rPr>
      <t xml:space="preserve">)·</t>
    </r>
    <r>
      <rPr>
        <b val="true"/>
        <sz val="11"/>
        <color rgb="FFFFFFFF"/>
        <rFont val="WenQuanYi Zen Hei"/>
        <family val="2"/>
      </rPr>
      <t xml:space="preserve">메모</t>
    </r>
  </si>
  <si>
    <t xml:space="preserve">2026-11-02</t>
  </si>
  <si>
    <t xml:space="preserve">본인</t>
  </si>
  <si>
    <t xml:space="preserve">네이버파워링크</t>
  </si>
  <si>
    <r>
      <rPr>
        <sz val="11"/>
        <color rgb="FFC00000"/>
        <rFont val="WenQuanYi Zen Hei"/>
        <family val="2"/>
      </rPr>
      <t xml:space="preserve">예시</t>
    </r>
    <r>
      <rPr>
        <sz val="11"/>
        <color rgb="FFC00000"/>
        <rFont val="Arial"/>
        <family val="0"/>
        <charset val="1"/>
      </rPr>
      <t xml:space="preserve">: </t>
    </r>
    <r>
      <rPr>
        <sz val="11"/>
        <color rgb="FFC00000"/>
        <rFont val="WenQuanYi Zen Hei"/>
        <family val="2"/>
      </rPr>
      <t xml:space="preserve">차종</t>
    </r>
    <r>
      <rPr>
        <sz val="11"/>
        <color rgb="FFC00000"/>
        <rFont val="Arial"/>
        <family val="0"/>
        <charset val="1"/>
      </rPr>
      <t xml:space="preserve">+</t>
    </r>
    <r>
      <rPr>
        <sz val="11"/>
        <color rgb="FFC00000"/>
        <rFont val="WenQuanYi Zen Hei"/>
        <family val="2"/>
      </rPr>
      <t xml:space="preserve">장기렌트 그룹</t>
    </r>
  </si>
  <si>
    <t xml:space="preserve">메타</t>
  </si>
  <si>
    <r>
      <rPr>
        <sz val="11"/>
        <color rgb="FFC00000"/>
        <rFont val="WenQuanYi Zen Hei"/>
        <family val="2"/>
      </rPr>
      <t xml:space="preserve">예시</t>
    </r>
    <r>
      <rPr>
        <sz val="11"/>
        <color rgb="FFC00000"/>
        <rFont val="Arial"/>
        <family val="0"/>
        <charset val="1"/>
      </rPr>
      <t xml:space="preserve">: </t>
    </r>
    <r>
      <rPr>
        <sz val="11"/>
        <color rgb="FFC00000"/>
        <rFont val="WenQuanYi Zen Hei"/>
        <family val="2"/>
      </rPr>
      <t xml:space="preserve">견적 공개 소재 </t>
    </r>
    <r>
      <rPr>
        <sz val="11"/>
        <color rgb="FFC00000"/>
        <rFont val="Arial"/>
        <family val="0"/>
        <charset val="1"/>
      </rPr>
      <t xml:space="preserve">A</t>
    </r>
  </si>
  <si>
    <r>
      <rPr>
        <sz val="11"/>
        <color rgb="FF0000FF"/>
        <rFont val="WenQuanYi Zen Hei"/>
        <family val="2"/>
      </rPr>
      <t xml:space="preserve">구매</t>
    </r>
    <r>
      <rPr>
        <sz val="11"/>
        <color rgb="FF0000FF"/>
        <rFont val="Arial"/>
        <family val="0"/>
        <charset val="1"/>
      </rPr>
      <t xml:space="preserve">DB</t>
    </r>
  </si>
  <si>
    <r>
      <rPr>
        <sz val="11"/>
        <color rgb="FFC00000"/>
        <rFont val="WenQuanYi Zen Hei"/>
        <family val="2"/>
      </rPr>
      <t xml:space="preserve">예시</t>
    </r>
    <r>
      <rPr>
        <sz val="11"/>
        <color rgb="FFC00000"/>
        <rFont val="Arial"/>
        <family val="0"/>
        <charset val="1"/>
      </rPr>
      <t xml:space="preserve">: DB 10</t>
    </r>
    <r>
      <rPr>
        <sz val="11"/>
        <color rgb="FFC00000"/>
        <rFont val="WenQuanYi Zen Hei"/>
        <family val="2"/>
      </rPr>
      <t xml:space="preserve">건</t>
    </r>
  </si>
  <si>
    <t xml:space="preserve">누적 광고비</t>
  </si>
  <si>
    <t xml:space="preserve">계약당 비용</t>
  </si>
  <si>
    <t xml:space="preserve">판정</t>
  </si>
  <si>
    <r>
      <rPr>
        <b val="true"/>
        <sz val="11"/>
        <color rgb="FFFFFFFF"/>
        <rFont val="WenQuanYi Zen Hei"/>
        <family val="2"/>
      </rPr>
      <t xml:space="preserve">계약당 비용 판정</t>
    </r>
    <r>
      <rPr>
        <b val="true"/>
        <sz val="11"/>
        <color rgb="FFFFFFFF"/>
        <rFont val="Arial"/>
        <family val="0"/>
        <charset val="1"/>
      </rPr>
      <t xml:space="preserve">(8</t>
    </r>
    <r>
      <rPr>
        <b val="true"/>
        <sz val="11"/>
        <color rgb="FFFFFFFF"/>
        <rFont val="WenQuanYi Zen Hei"/>
        <family val="2"/>
      </rPr>
      <t xml:space="preserve">주 차</t>
    </r>
    <r>
      <rPr>
        <b val="true"/>
        <sz val="11"/>
        <color rgb="FFFFFFFF"/>
        <rFont val="Arial"/>
        <family val="0"/>
        <charset val="1"/>
      </rPr>
      <t xml:space="preserve">~)</t>
    </r>
  </si>
  <si>
    <r>
      <rPr>
        <sz val="11"/>
        <rFont val="WenQuanYi Zen Hei"/>
        <family val="2"/>
      </rPr>
      <t xml:space="preserve">네이버</t>
    </r>
    <r>
      <rPr>
        <sz val="11"/>
        <rFont val="Arial"/>
        <family val="0"/>
        <charset val="1"/>
      </rPr>
      <t xml:space="preserve">GFA</t>
    </r>
  </si>
  <si>
    <r>
      <rPr>
        <sz val="11"/>
        <rFont val="WenQuanYi Zen Hei"/>
        <family val="2"/>
      </rPr>
      <t xml:space="preserve">구매</t>
    </r>
    <r>
      <rPr>
        <sz val="11"/>
        <rFont val="Arial"/>
        <family val="0"/>
        <charset val="1"/>
      </rPr>
      <t xml:space="preserve">DB</t>
    </r>
  </si>
  <si>
    <t xml:space="preserve">블로그</t>
  </si>
  <si>
    <t xml:space="preserve">클립</t>
  </si>
  <si>
    <t xml:space="preserve">쇼츠</t>
  </si>
  <si>
    <t xml:space="preserve">릴스</t>
  </si>
  <si>
    <t xml:space="preserve">카카오숏폼</t>
  </si>
  <si>
    <t xml:space="preserve">소개</t>
  </si>
  <si>
    <t xml:space="preserve">기존고객</t>
  </si>
  <si>
    <t xml:space="preserve">기타</t>
  </si>
  <si>
    <t xml:space="preserve">합계</t>
  </si>
  <si>
    <t xml:space="preserve">월</t>
  </si>
  <si>
    <t xml:space="preserve">계약 건수</t>
  </si>
  <si>
    <t xml:space="preserve">건당 순공헌</t>
  </si>
  <si>
    <t xml:space="preserve">공헌 합계</t>
  </si>
  <si>
    <t xml:space="preserve">도구비</t>
  </si>
  <si>
    <t xml:space="preserve">순이익</t>
  </si>
  <si>
    <t xml:space="preserve">손익분기 계약 수</t>
  </si>
  <si>
    <t xml:space="preserve">목표 대비</t>
  </si>
  <si>
    <r>
      <rPr>
        <b val="true"/>
        <sz val="11"/>
        <color rgb="FFFFFFFF"/>
        <rFont val="WenQuanYi Zen Hei"/>
        <family val="2"/>
      </rPr>
      <t xml:space="preserve">목표 계약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WenQuanYi Zen Hei"/>
        <family val="2"/>
      </rPr>
      <t xml:space="preserve">가정</t>
    </r>
    <r>
      <rPr>
        <b val="true"/>
        <sz val="11"/>
        <color rgb="FFFFFFFF"/>
        <rFont val="Arial"/>
        <family val="0"/>
        <charset val="1"/>
      </rPr>
      <t xml:space="preserve">)</t>
    </r>
  </si>
  <si>
    <t xml:space="preserve">2026-11</t>
  </si>
  <si>
    <t xml:space="preserve">2026-12</t>
  </si>
  <si>
    <t xml:space="preserve">2027-01</t>
  </si>
  <si>
    <t xml:space="preserve">2027-02</t>
  </si>
  <si>
    <t xml:space="preserve">2027-03</t>
  </si>
  <si>
    <t xml:space="preserve">2027-04</t>
  </si>
  <si>
    <r>
      <rPr>
        <i val="true"/>
        <sz val="11"/>
        <rFont val="WenQuanYi Zen Hei"/>
        <family val="2"/>
      </rPr>
      <t xml:space="preserve">광고비는 해당 월 실제 소진액을 입력</t>
    </r>
    <r>
      <rPr>
        <i val="true"/>
        <sz val="11"/>
        <rFont val="Arial"/>
        <family val="0"/>
        <charset val="1"/>
      </rPr>
      <t xml:space="preserve">(</t>
    </r>
    <r>
      <rPr>
        <i val="true"/>
        <sz val="11"/>
        <rFont val="WenQuanYi Zen Hei"/>
        <family val="2"/>
      </rPr>
      <t xml:space="preserve">주간기록 합계와 대조</t>
    </r>
    <r>
      <rPr>
        <i val="true"/>
        <sz val="11"/>
        <rFont val="Arial"/>
        <family val="0"/>
        <charset val="1"/>
      </rPr>
      <t xml:space="preserve">). </t>
    </r>
    <r>
      <rPr>
        <i val="true"/>
        <sz val="11"/>
        <rFont val="WenQuanYi Zen Hei"/>
        <family val="2"/>
      </rPr>
      <t xml:space="preserve">계약 건수는 기존 고객발 포함 전체</t>
    </r>
    <r>
      <rPr>
        <i val="true"/>
        <sz val="11"/>
        <rFont val="Arial"/>
        <family val="0"/>
        <charset val="1"/>
      </rPr>
      <t xml:space="preserve">.</t>
    </r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</si>
</sst>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\원;\(#,##0&quot;원)&quot;;\-"/>
    <numFmt numFmtId="166" formatCode="0.0%;\(0.0%\);\-"/>
    <numFmt numFmtId="167" formatCode="#,##0;\(#,##0\);\-"/>
    <numFmt numFmtId="168" formatCode="0.0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WenQuanYi Zen Hei"/>
      <family val="2"/>
    </font>
    <font>
      <sz val="11"/>
      <name val="Arial"/>
      <family val="0"/>
      <charset val="1"/>
    </font>
    <font>
      <sz val="11"/>
      <name val="WenQuanYi Zen Hei"/>
      <family val="2"/>
    </font>
    <font>
      <b val="true"/>
      <sz val="11"/>
      <name val="Arial"/>
      <family val="0"/>
      <charset val="1"/>
    </font>
    <font>
      <b val="true"/>
      <sz val="11"/>
      <color rgb="FFC00000"/>
      <name val="WenQuanYi Zen Hei"/>
      <family val="2"/>
    </font>
    <font>
      <b val="true"/>
      <sz val="11"/>
      <color rgb="FFC00000"/>
      <name val="Arial"/>
      <family val="0"/>
      <charset val="1"/>
    </font>
    <font>
      <b val="true"/>
      <sz val="11"/>
      <color rgb="FFFFFFFF"/>
      <name val="WenQuanYi Zen Hei"/>
      <family val="2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theme="1"/>
      <name val="Arial"/>
      <family val="0"/>
      <charset val="1"/>
    </font>
    <font>
      <sz val="11"/>
      <color rgb="FF0000FF"/>
      <name val="WenQuanYi Zen Hei"/>
      <family val="2"/>
    </font>
    <font>
      <sz val="11"/>
      <color rgb="FFC00000"/>
      <name val="WenQuanYi Zen Hei"/>
      <family val="2"/>
    </font>
    <font>
      <sz val="11"/>
      <color rgb="FFC00000"/>
      <name val="Arial"/>
      <family val="0"/>
      <charset val="1"/>
    </font>
    <font>
      <sz val="11"/>
      <color rgb="FF008000"/>
      <name val="Arial"/>
      <family val="0"/>
      <charset val="1"/>
    </font>
    <font>
      <i val="true"/>
      <sz val="11"/>
      <name val="WenQuanYi Zen Hei"/>
      <family val="2"/>
    </font>
    <font>
      <i val="true"/>
      <sz val="11"/>
      <name val="Arial"/>
      <family val="0"/>
      <charset val="1"/>
    </font>
    <font>
      <sz val="10"/>
      <name val="WenQuanYi Zen Hei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2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F8CBAD"/>
        </patternFill>
      </fill>
    </dxf>
    <dxf>
      <fill>
        <patternFill>
          <bgColor rgb="FFC6EFCE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4.9" hidden="false" customHeight="false" outlineLevel="0" collapsed="false">
      <c r="A3" s="2" t="s">
        <v>1</v>
      </c>
    </row>
    <row r="4" customFormat="false" ht="14.9" hidden="false" customHeight="false" outlineLevel="0" collapsed="false">
      <c r="A4" s="2" t="s">
        <v>2</v>
      </c>
    </row>
    <row r="5" customFormat="false" ht="14.9" hidden="false" customHeight="false" outlineLevel="0" collapsed="false">
      <c r="A5" s="2" t="s">
        <v>3</v>
      </c>
    </row>
    <row r="6" customFormat="false" ht="14.9" hidden="false" customHeight="false" outlineLevel="0" collapsed="false">
      <c r="A6" s="2" t="s">
        <v>4</v>
      </c>
    </row>
    <row r="7" customFormat="false" ht="14.9" hidden="false" customHeight="false" outlineLevel="0" collapsed="false">
      <c r="A7" s="2" t="s">
        <v>5</v>
      </c>
    </row>
    <row r="8" customFormat="false" ht="14.9" hidden="false" customHeight="false" outlineLevel="0" collapsed="false">
      <c r="A8" s="2" t="s">
        <v>6</v>
      </c>
    </row>
    <row r="9" customFormat="false" ht="14.9" hidden="false" customHeight="false" outlineLevel="0" collapsed="false">
      <c r="A9" s="2" t="s">
        <v>7</v>
      </c>
    </row>
    <row r="10" customFormat="false" ht="15" hidden="false" customHeight="false" outlineLevel="0" collapsed="false">
      <c r="A10" s="2"/>
    </row>
    <row r="11" customFormat="false" ht="14.9" hidden="false" customHeight="false" outlineLevel="0" collapsed="false">
      <c r="A11" s="1" t="s">
        <v>8</v>
      </c>
    </row>
    <row r="12" customFormat="false" ht="14.9" hidden="false" customHeight="false" outlineLevel="0" collapsed="false">
      <c r="A12" s="2" t="s">
        <v>9</v>
      </c>
    </row>
    <row r="13" customFormat="false" ht="14.9" hidden="false" customHeight="false" outlineLevel="0" collapsed="false">
      <c r="A13" s="2" t="s">
        <v>10</v>
      </c>
    </row>
    <row r="14" customFormat="false" ht="14.9" hidden="false" customHeight="false" outlineLevel="0" collapsed="false">
      <c r="A14" s="2" t="s">
        <v>11</v>
      </c>
    </row>
    <row r="15" customFormat="false" ht="14.9" hidden="false" customHeight="false" outlineLevel="0" collapsed="false">
      <c r="A15" s="2" t="s">
        <v>12</v>
      </c>
    </row>
    <row r="16" customFormat="false" ht="14.9" hidden="false" customHeight="false" outlineLevel="0" collapsed="false">
      <c r="A16" s="2" t="s">
        <v>13</v>
      </c>
    </row>
    <row r="17" customFormat="false" ht="14.9" hidden="false" customHeight="false" outlineLevel="0" collapsed="false">
      <c r="A17" s="2" t="s">
        <v>14</v>
      </c>
    </row>
    <row r="18" customFormat="false" ht="15" hidden="false" customHeight="false" outlineLevel="0" collapsed="false">
      <c r="A18" s="2"/>
    </row>
    <row r="19" customFormat="false" ht="14.9" hidden="false" customHeight="false" outlineLevel="0" collapsed="false">
      <c r="A19" s="3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6"/>
    <col collapsed="false" customWidth="true" hidden="false" outlineLevel="0" max="3" min="3" style="0" width="70"/>
  </cols>
  <sheetData>
    <row r="1" customFormat="false" ht="15" hidden="false" customHeight="false" outlineLevel="0" collapsed="false">
      <c r="A1" s="4" t="s">
        <v>16</v>
      </c>
      <c r="B1" s="4" t="s">
        <v>17</v>
      </c>
      <c r="C1" s="4" t="s">
        <v>18</v>
      </c>
    </row>
    <row r="2" customFormat="false" ht="14.9" hidden="false" customHeight="false" outlineLevel="0" collapsed="false">
      <c r="A2" s="5" t="s">
        <v>19</v>
      </c>
      <c r="B2" s="6" t="n">
        <v>1300000</v>
      </c>
      <c r="C2" s="5" t="s">
        <v>20</v>
      </c>
    </row>
    <row r="3" customFormat="false" ht="15" hidden="false" customHeight="false" outlineLevel="0" collapsed="false">
      <c r="A3" s="5" t="s">
        <v>21</v>
      </c>
      <c r="B3" s="6" t="n">
        <v>38500</v>
      </c>
      <c r="C3" s="5" t="s">
        <v>22</v>
      </c>
    </row>
    <row r="4" customFormat="false" ht="15" hidden="false" customHeight="false" outlineLevel="0" collapsed="false">
      <c r="A4" s="5" t="s">
        <v>23</v>
      </c>
      <c r="B4" s="7" t="n">
        <v>0.5</v>
      </c>
      <c r="C4" s="5" t="s">
        <v>24</v>
      </c>
    </row>
    <row r="5" customFormat="false" ht="15" hidden="false" customHeight="false" outlineLevel="0" collapsed="false">
      <c r="A5" s="5" t="s">
        <v>25</v>
      </c>
      <c r="B5" s="6" t="n">
        <v>250000</v>
      </c>
      <c r="C5" s="2" t="s">
        <v>26</v>
      </c>
    </row>
    <row r="6" customFormat="false" ht="14.9" hidden="false" customHeight="false" outlineLevel="0" collapsed="false">
      <c r="A6" s="5" t="s">
        <v>27</v>
      </c>
      <c r="B6" s="6" t="n">
        <v>150000</v>
      </c>
      <c r="C6" s="5" t="s">
        <v>28</v>
      </c>
    </row>
    <row r="7" customFormat="false" ht="15" hidden="false" customHeight="false" outlineLevel="0" collapsed="false">
      <c r="A7" s="5" t="s">
        <v>29</v>
      </c>
      <c r="B7" s="6" t="n">
        <v>300000</v>
      </c>
      <c r="C7" s="5" t="s">
        <v>30</v>
      </c>
    </row>
    <row r="8" customFormat="false" ht="15" hidden="false" customHeight="false" outlineLevel="0" collapsed="false">
      <c r="A8" s="5" t="s">
        <v>31</v>
      </c>
      <c r="B8" s="8" t="n">
        <v>10</v>
      </c>
      <c r="C8" s="5" t="s">
        <v>30</v>
      </c>
    </row>
    <row r="9" customFormat="false" ht="15" hidden="false" customHeight="false" outlineLevel="0" collapsed="false">
      <c r="A9" s="5" t="s">
        <v>32</v>
      </c>
      <c r="B9" s="8" t="n">
        <v>8</v>
      </c>
      <c r="C9" s="5" t="s">
        <v>33</v>
      </c>
    </row>
    <row r="10" customFormat="false" ht="15" hidden="false" customHeight="false" outlineLevel="0" collapsed="false">
      <c r="A10" s="9"/>
      <c r="B10" s="9"/>
      <c r="C10" s="9"/>
    </row>
    <row r="11" customFormat="false" ht="15" hidden="false" customHeight="false" outlineLevel="0" collapsed="false">
      <c r="A11" s="1" t="s">
        <v>34</v>
      </c>
      <c r="B11" s="9"/>
      <c r="C11" s="9"/>
    </row>
    <row r="12" customFormat="false" ht="15" hidden="false" customHeight="false" outlineLevel="0" collapsed="false">
      <c r="A12" s="5" t="s">
        <v>35</v>
      </c>
      <c r="B12" s="10" t="n">
        <f aca="false">B2*B4</f>
        <v>650000</v>
      </c>
      <c r="C12" s="5" t="s">
        <v>36</v>
      </c>
    </row>
    <row r="13" customFormat="false" ht="15" hidden="false" customHeight="false" outlineLevel="0" collapsed="false">
      <c r="A13" s="5" t="s">
        <v>37</v>
      </c>
      <c r="B13" s="11" t="n">
        <f aca="false">IFERROR(B3/B2,0)</f>
        <v>0.0296153846153846</v>
      </c>
      <c r="C13" s="5" t="s">
        <v>38</v>
      </c>
    </row>
    <row r="14" customFormat="false" ht="14.9" hidden="false" customHeight="false" outlineLevel="0" collapsed="false">
      <c r="A14" s="5" t="s">
        <v>39</v>
      </c>
      <c r="B14" s="10" t="n">
        <f aca="false">IFERROR(SUMIFS(주간기록!$E:$E,주간기록!$D:$D,"구매DB")/SUMIFS(주간기록!$H:$H,주간기록!$D:$D,"구매DB"),B6)</f>
        <v>192500</v>
      </c>
      <c r="C14" s="5" t="s">
        <v>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3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1"/>
    <col collapsed="false" customWidth="true" hidden="false" outlineLevel="0" max="3" min="3" style="0" width="8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7" min="6" style="0" width="7"/>
    <col collapsed="false" customWidth="true" hidden="false" outlineLevel="0" max="9" min="8" style="0" width="9"/>
    <col collapsed="false" customWidth="true" hidden="false" outlineLevel="0" max="10" min="10" style="0" width="7"/>
    <col collapsed="false" customWidth="true" hidden="false" outlineLevel="0" max="12" min="11" style="0" width="12"/>
    <col collapsed="false" customWidth="true" hidden="false" outlineLevel="0" max="13" min="13" style="0" width="9"/>
    <col collapsed="false" customWidth="true" hidden="false" outlineLevel="0" max="14" min="14" style="0" width="11"/>
    <col collapsed="false" customWidth="true" hidden="false" outlineLevel="0" max="15" min="15" style="0" width="15"/>
    <col collapsed="false" customWidth="true" hidden="false" outlineLevel="0" max="16" min="16" style="0" width="20"/>
    <col collapsed="false" customWidth="true" hidden="false" outlineLevel="0" max="17" min="17" style="0" width="30"/>
  </cols>
  <sheetData>
    <row r="1" customFormat="false" ht="28.35" hidden="false" customHeight="false" outlineLevel="0" collapsed="false">
      <c r="A1" s="12" t="s">
        <v>41</v>
      </c>
      <c r="B1" s="12" t="s">
        <v>42</v>
      </c>
      <c r="C1" s="12" t="s">
        <v>43</v>
      </c>
      <c r="D1" s="12" t="s">
        <v>44</v>
      </c>
      <c r="E1" s="12" t="s">
        <v>45</v>
      </c>
      <c r="F1" s="12" t="s">
        <v>46</v>
      </c>
      <c r="G1" s="12" t="s">
        <v>47</v>
      </c>
      <c r="H1" s="12" t="s">
        <v>48</v>
      </c>
      <c r="I1" s="12" t="s">
        <v>49</v>
      </c>
      <c r="J1" s="12" t="s">
        <v>50</v>
      </c>
      <c r="K1" s="12" t="s">
        <v>51</v>
      </c>
      <c r="L1" s="12" t="s">
        <v>52</v>
      </c>
      <c r="M1" s="12" t="s">
        <v>53</v>
      </c>
      <c r="N1" s="12" t="s">
        <v>54</v>
      </c>
      <c r="O1" s="12" t="s">
        <v>55</v>
      </c>
      <c r="P1" s="12" t="s">
        <v>56</v>
      </c>
      <c r="Q1" s="12" t="s">
        <v>57</v>
      </c>
    </row>
    <row r="2" customFormat="false" ht="15" hidden="false" customHeight="false" outlineLevel="0" collapsed="false">
      <c r="A2" s="13" t="n">
        <v>1</v>
      </c>
      <c r="B2" s="13" t="s">
        <v>58</v>
      </c>
      <c r="C2" s="14" t="s">
        <v>59</v>
      </c>
      <c r="D2" s="14" t="s">
        <v>60</v>
      </c>
      <c r="E2" s="15" t="n">
        <v>250000</v>
      </c>
      <c r="F2" s="16" t="n">
        <v>6</v>
      </c>
      <c r="G2" s="16" t="n">
        <v>4</v>
      </c>
      <c r="H2" s="16" t="n">
        <v>2</v>
      </c>
      <c r="I2" s="16" t="n">
        <v>1</v>
      </c>
      <c r="J2" s="16" t="n">
        <v>0</v>
      </c>
      <c r="K2" s="15" t="n">
        <v>0</v>
      </c>
      <c r="L2" s="17" t="n">
        <f aca="false">IF(OR($D2="",$F2=0),"",$E2/$F2)</f>
        <v>41666.6666666667</v>
      </c>
      <c r="M2" s="18" t="n">
        <f aca="false">IF(OR($D2="",$F2=0),"",$G2/$F2)</f>
        <v>0.666666666666667</v>
      </c>
      <c r="N2" s="18" t="n">
        <f aca="false">IF(OR($D2="",$F2=0),"",$H2/$F2)</f>
        <v>0.333333333333333</v>
      </c>
      <c r="O2" s="17" t="n">
        <f aca="false">IF(OR($D2="",$H2=0),"",$E2/$H2)</f>
        <v>125000</v>
      </c>
      <c r="P2" s="17" t="str">
        <f aca="false">IF(OR($D2="",$J2=0),"",($E2+$K2)/$J2)</f>
        <v/>
      </c>
      <c r="Q2" s="19" t="s">
        <v>61</v>
      </c>
    </row>
    <row r="3" customFormat="false" ht="15" hidden="false" customHeight="false" outlineLevel="0" collapsed="false">
      <c r="A3" s="13" t="n">
        <v>1</v>
      </c>
      <c r="B3" s="13" t="s">
        <v>58</v>
      </c>
      <c r="C3" s="14" t="s">
        <v>59</v>
      </c>
      <c r="D3" s="14" t="s">
        <v>62</v>
      </c>
      <c r="E3" s="15" t="n">
        <v>200000</v>
      </c>
      <c r="F3" s="16" t="n">
        <v>5</v>
      </c>
      <c r="G3" s="16" t="n">
        <v>2</v>
      </c>
      <c r="H3" s="16" t="n">
        <v>1</v>
      </c>
      <c r="I3" s="16" t="n">
        <v>0</v>
      </c>
      <c r="J3" s="16" t="n">
        <v>0</v>
      </c>
      <c r="K3" s="15" t="n">
        <v>0</v>
      </c>
      <c r="L3" s="17" t="n">
        <f aca="false">IF(OR($D3="",$F3=0),"",$E3/$F3)</f>
        <v>40000</v>
      </c>
      <c r="M3" s="18" t="n">
        <f aca="false">IF(OR($D3="",$F3=0),"",$G3/$F3)</f>
        <v>0.4</v>
      </c>
      <c r="N3" s="18" t="n">
        <f aca="false">IF(OR($D3="",$F3=0),"",$H3/$F3)</f>
        <v>0.2</v>
      </c>
      <c r="O3" s="17" t="n">
        <f aca="false">IF(OR($D3="",$H3=0),"",$E3/$H3)</f>
        <v>200000</v>
      </c>
      <c r="P3" s="17" t="str">
        <f aca="false">IF(OR($D3="",$J3=0),"",($E3+$K3)/$J3)</f>
        <v/>
      </c>
      <c r="Q3" s="19" t="s">
        <v>63</v>
      </c>
    </row>
    <row r="4" customFormat="false" ht="15" hidden="false" customHeight="false" outlineLevel="0" collapsed="false">
      <c r="A4" s="13" t="n">
        <v>1</v>
      </c>
      <c r="B4" s="13" t="s">
        <v>58</v>
      </c>
      <c r="C4" s="14" t="s">
        <v>59</v>
      </c>
      <c r="D4" s="14" t="s">
        <v>64</v>
      </c>
      <c r="E4" s="15" t="n">
        <v>385000</v>
      </c>
      <c r="F4" s="16" t="n">
        <v>10</v>
      </c>
      <c r="G4" s="16" t="n">
        <v>4</v>
      </c>
      <c r="H4" s="16" t="n">
        <v>2</v>
      </c>
      <c r="I4" s="16" t="n">
        <v>1</v>
      </c>
      <c r="J4" s="16" t="n">
        <v>0</v>
      </c>
      <c r="K4" s="15" t="n">
        <v>0</v>
      </c>
      <c r="L4" s="17" t="n">
        <f aca="false">IF(OR($D4="",$F4=0),"",$E4/$F4)</f>
        <v>38500</v>
      </c>
      <c r="M4" s="18" t="n">
        <f aca="false">IF(OR($D4="",$F4=0),"",$G4/$F4)</f>
        <v>0.4</v>
      </c>
      <c r="N4" s="18" t="n">
        <f aca="false">IF(OR($D4="",$F4=0),"",$H4/$F4)</f>
        <v>0.2</v>
      </c>
      <c r="O4" s="17" t="n">
        <f aca="false">IF(OR($D4="",$H4=0),"",$E4/$H4)</f>
        <v>192500</v>
      </c>
      <c r="P4" s="17" t="str">
        <f aca="false">IF(OR($D4="",$J4=0),"",($E4+$K4)/$J4)</f>
        <v/>
      </c>
      <c r="Q4" s="19" t="s">
        <v>65</v>
      </c>
    </row>
    <row r="5" customFormat="false" ht="15" hidden="false" customHeight="false" outlineLevel="0" collapsed="false">
      <c r="A5" s="13"/>
      <c r="B5" s="13"/>
      <c r="C5" s="13"/>
      <c r="D5" s="14"/>
      <c r="E5" s="15"/>
      <c r="F5" s="16"/>
      <c r="G5" s="16"/>
      <c r="H5" s="16"/>
      <c r="I5" s="16"/>
      <c r="J5" s="16"/>
      <c r="K5" s="15"/>
      <c r="L5" s="17" t="str">
        <f aca="false">IF(OR($D5="",$F5=0),"",$E5/$F5)</f>
        <v/>
      </c>
      <c r="M5" s="18" t="str">
        <f aca="false">IF(OR($D5="",$F5=0),"",$G5/$F5)</f>
        <v/>
      </c>
      <c r="N5" s="18" t="str">
        <f aca="false">IF(OR($D5="",$F5=0),"",$H5/$F5)</f>
        <v/>
      </c>
      <c r="O5" s="17" t="str">
        <f aca="false">IF(OR($D5="",$H5=0),"",$E5/$H5)</f>
        <v/>
      </c>
      <c r="P5" s="17" t="str">
        <f aca="false">IF(OR($D5="",$J5=0),"",($E5+$K5)/$J5)</f>
        <v/>
      </c>
      <c r="Q5" s="20"/>
    </row>
    <row r="6" customFormat="false" ht="15" hidden="false" customHeight="false" outlineLevel="0" collapsed="false">
      <c r="A6" s="13"/>
      <c r="B6" s="13"/>
      <c r="C6" s="13"/>
      <c r="D6" s="14"/>
      <c r="E6" s="15"/>
      <c r="F6" s="16"/>
      <c r="G6" s="16"/>
      <c r="H6" s="16"/>
      <c r="I6" s="16"/>
      <c r="J6" s="16"/>
      <c r="K6" s="15"/>
      <c r="L6" s="17" t="str">
        <f aca="false">IF(OR($D6="",$F6=0),"",$E6/$F6)</f>
        <v/>
      </c>
      <c r="M6" s="18" t="str">
        <f aca="false">IF(OR($D6="",$F6=0),"",$G6/$F6)</f>
        <v/>
      </c>
      <c r="N6" s="18" t="str">
        <f aca="false">IF(OR($D6="",$F6=0),"",$H6/$F6)</f>
        <v/>
      </c>
      <c r="O6" s="17" t="str">
        <f aca="false">IF(OR($D6="",$H6=0),"",$E6/$H6)</f>
        <v/>
      </c>
      <c r="P6" s="17" t="str">
        <f aca="false">IF(OR($D6="",$J6=0),"",($E6+$K6)/$J6)</f>
        <v/>
      </c>
      <c r="Q6" s="20"/>
    </row>
    <row r="7" customFormat="false" ht="15" hidden="false" customHeight="false" outlineLevel="0" collapsed="false">
      <c r="A7" s="13"/>
      <c r="B7" s="13"/>
      <c r="C7" s="13"/>
      <c r="D7" s="14"/>
      <c r="E7" s="15"/>
      <c r="F7" s="16"/>
      <c r="G7" s="16"/>
      <c r="H7" s="16"/>
      <c r="I7" s="16"/>
      <c r="J7" s="16"/>
      <c r="K7" s="15"/>
      <c r="L7" s="17" t="str">
        <f aca="false">IF(OR($D7="",$F7=0),"",$E7/$F7)</f>
        <v/>
      </c>
      <c r="M7" s="18" t="str">
        <f aca="false">IF(OR($D7="",$F7=0),"",$G7/$F7)</f>
        <v/>
      </c>
      <c r="N7" s="18" t="str">
        <f aca="false">IF(OR($D7="",$F7=0),"",$H7/$F7)</f>
        <v/>
      </c>
      <c r="O7" s="17" t="str">
        <f aca="false">IF(OR($D7="",$H7=0),"",$E7/$H7)</f>
        <v/>
      </c>
      <c r="P7" s="17" t="str">
        <f aca="false">IF(OR($D7="",$J7=0),"",($E7+$K7)/$J7)</f>
        <v/>
      </c>
      <c r="Q7" s="20"/>
    </row>
    <row r="8" customFormat="false" ht="15" hidden="false" customHeight="false" outlineLevel="0" collapsed="false">
      <c r="A8" s="13"/>
      <c r="B8" s="13"/>
      <c r="C8" s="13"/>
      <c r="D8" s="14"/>
      <c r="E8" s="15"/>
      <c r="F8" s="16"/>
      <c r="G8" s="16"/>
      <c r="H8" s="16"/>
      <c r="I8" s="16"/>
      <c r="J8" s="16"/>
      <c r="K8" s="15"/>
      <c r="L8" s="17" t="str">
        <f aca="false">IF(OR($D8="",$F8=0),"",$E8/$F8)</f>
        <v/>
      </c>
      <c r="M8" s="18" t="str">
        <f aca="false">IF(OR($D8="",$F8=0),"",$G8/$F8)</f>
        <v/>
      </c>
      <c r="N8" s="18" t="str">
        <f aca="false">IF(OR($D8="",$F8=0),"",$H8/$F8)</f>
        <v/>
      </c>
      <c r="O8" s="17" t="str">
        <f aca="false">IF(OR($D8="",$H8=0),"",$E8/$H8)</f>
        <v/>
      </c>
      <c r="P8" s="17" t="str">
        <f aca="false">IF(OR($D8="",$J8=0),"",($E8+$K8)/$J8)</f>
        <v/>
      </c>
      <c r="Q8" s="20"/>
    </row>
    <row r="9" customFormat="false" ht="15" hidden="false" customHeight="false" outlineLevel="0" collapsed="false">
      <c r="A9" s="13"/>
      <c r="B9" s="13"/>
      <c r="C9" s="13"/>
      <c r="D9" s="14"/>
      <c r="E9" s="15"/>
      <c r="F9" s="16"/>
      <c r="G9" s="16"/>
      <c r="H9" s="16"/>
      <c r="I9" s="16"/>
      <c r="J9" s="16"/>
      <c r="K9" s="15"/>
      <c r="L9" s="17" t="str">
        <f aca="false">IF(OR($D9="",$F9=0),"",$E9/$F9)</f>
        <v/>
      </c>
      <c r="M9" s="18" t="str">
        <f aca="false">IF(OR($D9="",$F9=0),"",$G9/$F9)</f>
        <v/>
      </c>
      <c r="N9" s="18" t="str">
        <f aca="false">IF(OR($D9="",$F9=0),"",$H9/$F9)</f>
        <v/>
      </c>
      <c r="O9" s="17" t="str">
        <f aca="false">IF(OR($D9="",$H9=0),"",$E9/$H9)</f>
        <v/>
      </c>
      <c r="P9" s="17" t="str">
        <f aca="false">IF(OR($D9="",$J9=0),"",($E9+$K9)/$J9)</f>
        <v/>
      </c>
      <c r="Q9" s="20"/>
    </row>
    <row r="10" customFormat="false" ht="15" hidden="false" customHeight="false" outlineLevel="0" collapsed="false">
      <c r="A10" s="13"/>
      <c r="B10" s="13"/>
      <c r="C10" s="13"/>
      <c r="D10" s="14"/>
      <c r="E10" s="15"/>
      <c r="F10" s="16"/>
      <c r="G10" s="16"/>
      <c r="H10" s="16"/>
      <c r="I10" s="16"/>
      <c r="J10" s="16"/>
      <c r="K10" s="15"/>
      <c r="L10" s="17" t="str">
        <f aca="false">IF(OR($D10="",$F10=0),"",$E10/$F10)</f>
        <v/>
      </c>
      <c r="M10" s="18" t="str">
        <f aca="false">IF(OR($D10="",$F10=0),"",$G10/$F10)</f>
        <v/>
      </c>
      <c r="N10" s="18" t="str">
        <f aca="false">IF(OR($D10="",$F10=0),"",$H10/$F10)</f>
        <v/>
      </c>
      <c r="O10" s="17" t="str">
        <f aca="false">IF(OR($D10="",$H10=0),"",$E10/$H10)</f>
        <v/>
      </c>
      <c r="P10" s="17" t="str">
        <f aca="false">IF(OR($D10="",$J10=0),"",($E10+$K10)/$J10)</f>
        <v/>
      </c>
      <c r="Q10" s="20"/>
    </row>
    <row r="11" customFormat="false" ht="15" hidden="false" customHeight="false" outlineLevel="0" collapsed="false">
      <c r="A11" s="13"/>
      <c r="B11" s="13"/>
      <c r="C11" s="13"/>
      <c r="D11" s="14"/>
      <c r="E11" s="15"/>
      <c r="F11" s="16"/>
      <c r="G11" s="16"/>
      <c r="H11" s="16"/>
      <c r="I11" s="16"/>
      <c r="J11" s="16"/>
      <c r="K11" s="15"/>
      <c r="L11" s="17" t="str">
        <f aca="false">IF(OR($D11="",$F11=0),"",$E11/$F11)</f>
        <v/>
      </c>
      <c r="M11" s="18" t="str">
        <f aca="false">IF(OR($D11="",$F11=0),"",$G11/$F11)</f>
        <v/>
      </c>
      <c r="N11" s="18" t="str">
        <f aca="false">IF(OR($D11="",$F11=0),"",$H11/$F11)</f>
        <v/>
      </c>
      <c r="O11" s="17" t="str">
        <f aca="false">IF(OR($D11="",$H11=0),"",$E11/$H11)</f>
        <v/>
      </c>
      <c r="P11" s="17" t="str">
        <f aca="false">IF(OR($D11="",$J11=0),"",($E11+$K11)/$J11)</f>
        <v/>
      </c>
      <c r="Q11" s="20"/>
    </row>
    <row r="12" customFormat="false" ht="15" hidden="false" customHeight="false" outlineLevel="0" collapsed="false">
      <c r="A12" s="13"/>
      <c r="B12" s="13"/>
      <c r="C12" s="13"/>
      <c r="D12" s="14"/>
      <c r="E12" s="15"/>
      <c r="F12" s="16"/>
      <c r="G12" s="16"/>
      <c r="H12" s="16"/>
      <c r="I12" s="16"/>
      <c r="J12" s="16"/>
      <c r="K12" s="15"/>
      <c r="L12" s="17" t="str">
        <f aca="false">IF(OR($D12="",$F12=0),"",$E12/$F12)</f>
        <v/>
      </c>
      <c r="M12" s="18" t="str">
        <f aca="false">IF(OR($D12="",$F12=0),"",$G12/$F12)</f>
        <v/>
      </c>
      <c r="N12" s="18" t="str">
        <f aca="false">IF(OR($D12="",$F12=0),"",$H12/$F12)</f>
        <v/>
      </c>
      <c r="O12" s="17" t="str">
        <f aca="false">IF(OR($D12="",$H12=0),"",$E12/$H12)</f>
        <v/>
      </c>
      <c r="P12" s="17" t="str">
        <f aca="false">IF(OR($D12="",$J12=0),"",($E12+$K12)/$J12)</f>
        <v/>
      </c>
      <c r="Q12" s="20"/>
    </row>
    <row r="13" customFormat="false" ht="15" hidden="false" customHeight="false" outlineLevel="0" collapsed="false">
      <c r="A13" s="13"/>
      <c r="B13" s="13"/>
      <c r="C13" s="13"/>
      <c r="D13" s="14"/>
      <c r="E13" s="15"/>
      <c r="F13" s="16"/>
      <c r="G13" s="16"/>
      <c r="H13" s="16"/>
      <c r="I13" s="16"/>
      <c r="J13" s="16"/>
      <c r="K13" s="15"/>
      <c r="L13" s="17" t="str">
        <f aca="false">IF(OR($D13="",$F13=0),"",$E13/$F13)</f>
        <v/>
      </c>
      <c r="M13" s="18" t="str">
        <f aca="false">IF(OR($D13="",$F13=0),"",$G13/$F13)</f>
        <v/>
      </c>
      <c r="N13" s="18" t="str">
        <f aca="false">IF(OR($D13="",$F13=0),"",$H13/$F13)</f>
        <v/>
      </c>
      <c r="O13" s="17" t="str">
        <f aca="false">IF(OR($D13="",$H13=0),"",$E13/$H13)</f>
        <v/>
      </c>
      <c r="P13" s="17" t="str">
        <f aca="false">IF(OR($D13="",$J13=0),"",($E13+$K13)/$J13)</f>
        <v/>
      </c>
      <c r="Q13" s="20"/>
    </row>
    <row r="14" customFormat="false" ht="15" hidden="false" customHeight="false" outlineLevel="0" collapsed="false">
      <c r="A14" s="13"/>
      <c r="B14" s="13"/>
      <c r="C14" s="13"/>
      <c r="D14" s="14"/>
      <c r="E14" s="15"/>
      <c r="F14" s="16"/>
      <c r="G14" s="16"/>
      <c r="H14" s="16"/>
      <c r="I14" s="16"/>
      <c r="J14" s="16"/>
      <c r="K14" s="15"/>
      <c r="L14" s="17" t="str">
        <f aca="false">IF(OR($D14="",$F14=0),"",$E14/$F14)</f>
        <v/>
      </c>
      <c r="M14" s="18" t="str">
        <f aca="false">IF(OR($D14="",$F14=0),"",$G14/$F14)</f>
        <v/>
      </c>
      <c r="N14" s="18" t="str">
        <f aca="false">IF(OR($D14="",$F14=0),"",$H14/$F14)</f>
        <v/>
      </c>
      <c r="O14" s="17" t="str">
        <f aca="false">IF(OR($D14="",$H14=0),"",$E14/$H14)</f>
        <v/>
      </c>
      <c r="P14" s="17" t="str">
        <f aca="false">IF(OR($D14="",$J14=0),"",($E14+$K14)/$J14)</f>
        <v/>
      </c>
      <c r="Q14" s="20"/>
    </row>
    <row r="15" customFormat="false" ht="15" hidden="false" customHeight="false" outlineLevel="0" collapsed="false">
      <c r="A15" s="13"/>
      <c r="B15" s="13"/>
      <c r="C15" s="13"/>
      <c r="D15" s="14"/>
      <c r="E15" s="15"/>
      <c r="F15" s="16"/>
      <c r="G15" s="16"/>
      <c r="H15" s="16"/>
      <c r="I15" s="16"/>
      <c r="J15" s="16"/>
      <c r="K15" s="15"/>
      <c r="L15" s="17" t="str">
        <f aca="false">IF(OR($D15="",$F15=0),"",$E15/$F15)</f>
        <v/>
      </c>
      <c r="M15" s="18" t="str">
        <f aca="false">IF(OR($D15="",$F15=0),"",$G15/$F15)</f>
        <v/>
      </c>
      <c r="N15" s="18" t="str">
        <f aca="false">IF(OR($D15="",$F15=0),"",$H15/$F15)</f>
        <v/>
      </c>
      <c r="O15" s="17" t="str">
        <f aca="false">IF(OR($D15="",$H15=0),"",$E15/$H15)</f>
        <v/>
      </c>
      <c r="P15" s="17" t="str">
        <f aca="false">IF(OR($D15="",$J15=0),"",($E15+$K15)/$J15)</f>
        <v/>
      </c>
      <c r="Q15" s="20"/>
    </row>
    <row r="16" customFormat="false" ht="15" hidden="false" customHeight="false" outlineLevel="0" collapsed="false">
      <c r="A16" s="13"/>
      <c r="B16" s="13"/>
      <c r="C16" s="13"/>
      <c r="D16" s="14"/>
      <c r="E16" s="15"/>
      <c r="F16" s="16"/>
      <c r="G16" s="16"/>
      <c r="H16" s="16"/>
      <c r="I16" s="16"/>
      <c r="J16" s="16"/>
      <c r="K16" s="15"/>
      <c r="L16" s="17" t="str">
        <f aca="false">IF(OR($D16="",$F16=0),"",$E16/$F16)</f>
        <v/>
      </c>
      <c r="M16" s="18" t="str">
        <f aca="false">IF(OR($D16="",$F16=0),"",$G16/$F16)</f>
        <v/>
      </c>
      <c r="N16" s="18" t="str">
        <f aca="false">IF(OR($D16="",$F16=0),"",$H16/$F16)</f>
        <v/>
      </c>
      <c r="O16" s="17" t="str">
        <f aca="false">IF(OR($D16="",$H16=0),"",$E16/$H16)</f>
        <v/>
      </c>
      <c r="P16" s="17" t="str">
        <f aca="false">IF(OR($D16="",$J16=0),"",($E16+$K16)/$J16)</f>
        <v/>
      </c>
      <c r="Q16" s="20"/>
    </row>
    <row r="17" customFormat="false" ht="15" hidden="false" customHeight="false" outlineLevel="0" collapsed="false">
      <c r="A17" s="13"/>
      <c r="B17" s="13"/>
      <c r="C17" s="13"/>
      <c r="D17" s="14"/>
      <c r="E17" s="15"/>
      <c r="F17" s="16"/>
      <c r="G17" s="16"/>
      <c r="H17" s="16"/>
      <c r="I17" s="16"/>
      <c r="J17" s="16"/>
      <c r="K17" s="15"/>
      <c r="L17" s="17" t="str">
        <f aca="false">IF(OR($D17="",$F17=0),"",$E17/$F17)</f>
        <v/>
      </c>
      <c r="M17" s="18" t="str">
        <f aca="false">IF(OR($D17="",$F17=0),"",$G17/$F17)</f>
        <v/>
      </c>
      <c r="N17" s="18" t="str">
        <f aca="false">IF(OR($D17="",$F17=0),"",$H17/$F17)</f>
        <v/>
      </c>
      <c r="O17" s="17" t="str">
        <f aca="false">IF(OR($D17="",$H17=0),"",$E17/$H17)</f>
        <v/>
      </c>
      <c r="P17" s="17" t="str">
        <f aca="false">IF(OR($D17="",$J17=0),"",($E17+$K17)/$J17)</f>
        <v/>
      </c>
      <c r="Q17" s="20"/>
    </row>
    <row r="18" customFormat="false" ht="15" hidden="false" customHeight="false" outlineLevel="0" collapsed="false">
      <c r="A18" s="13"/>
      <c r="B18" s="13"/>
      <c r="C18" s="13"/>
      <c r="D18" s="14"/>
      <c r="E18" s="15"/>
      <c r="F18" s="16"/>
      <c r="G18" s="16"/>
      <c r="H18" s="16"/>
      <c r="I18" s="16"/>
      <c r="J18" s="16"/>
      <c r="K18" s="15"/>
      <c r="L18" s="17" t="str">
        <f aca="false">IF(OR($D18="",$F18=0),"",$E18/$F18)</f>
        <v/>
      </c>
      <c r="M18" s="18" t="str">
        <f aca="false">IF(OR($D18="",$F18=0),"",$G18/$F18)</f>
        <v/>
      </c>
      <c r="N18" s="18" t="str">
        <f aca="false">IF(OR($D18="",$F18=0),"",$H18/$F18)</f>
        <v/>
      </c>
      <c r="O18" s="17" t="str">
        <f aca="false">IF(OR($D18="",$H18=0),"",$E18/$H18)</f>
        <v/>
      </c>
      <c r="P18" s="17" t="str">
        <f aca="false">IF(OR($D18="",$J18=0),"",($E18+$K18)/$J18)</f>
        <v/>
      </c>
      <c r="Q18" s="20"/>
    </row>
    <row r="19" customFormat="false" ht="15" hidden="false" customHeight="false" outlineLevel="0" collapsed="false">
      <c r="A19" s="13"/>
      <c r="B19" s="13"/>
      <c r="C19" s="13"/>
      <c r="D19" s="14"/>
      <c r="E19" s="15"/>
      <c r="F19" s="16"/>
      <c r="G19" s="16"/>
      <c r="H19" s="16"/>
      <c r="I19" s="16"/>
      <c r="J19" s="16"/>
      <c r="K19" s="15"/>
      <c r="L19" s="17" t="str">
        <f aca="false">IF(OR($D19="",$F19=0),"",$E19/$F19)</f>
        <v/>
      </c>
      <c r="M19" s="18" t="str">
        <f aca="false">IF(OR($D19="",$F19=0),"",$G19/$F19)</f>
        <v/>
      </c>
      <c r="N19" s="18" t="str">
        <f aca="false">IF(OR($D19="",$F19=0),"",$H19/$F19)</f>
        <v/>
      </c>
      <c r="O19" s="17" t="str">
        <f aca="false">IF(OR($D19="",$H19=0),"",$E19/$H19)</f>
        <v/>
      </c>
      <c r="P19" s="17" t="str">
        <f aca="false">IF(OR($D19="",$J19=0),"",($E19+$K19)/$J19)</f>
        <v/>
      </c>
      <c r="Q19" s="20"/>
    </row>
    <row r="20" customFormat="false" ht="15" hidden="false" customHeight="false" outlineLevel="0" collapsed="false">
      <c r="A20" s="13"/>
      <c r="B20" s="13"/>
      <c r="C20" s="13"/>
      <c r="D20" s="14"/>
      <c r="E20" s="15"/>
      <c r="F20" s="16"/>
      <c r="G20" s="16"/>
      <c r="H20" s="16"/>
      <c r="I20" s="16"/>
      <c r="J20" s="16"/>
      <c r="K20" s="15"/>
      <c r="L20" s="17" t="str">
        <f aca="false">IF(OR($D20="",$F20=0),"",$E20/$F20)</f>
        <v/>
      </c>
      <c r="M20" s="18" t="str">
        <f aca="false">IF(OR($D20="",$F20=0),"",$G20/$F20)</f>
        <v/>
      </c>
      <c r="N20" s="18" t="str">
        <f aca="false">IF(OR($D20="",$F20=0),"",$H20/$F20)</f>
        <v/>
      </c>
      <c r="O20" s="17" t="str">
        <f aca="false">IF(OR($D20="",$H20=0),"",$E20/$H20)</f>
        <v/>
      </c>
      <c r="P20" s="17" t="str">
        <f aca="false">IF(OR($D20="",$J20=0),"",($E20+$K20)/$J20)</f>
        <v/>
      </c>
      <c r="Q20" s="20"/>
    </row>
    <row r="21" customFormat="false" ht="15" hidden="false" customHeight="false" outlineLevel="0" collapsed="false">
      <c r="A21" s="13"/>
      <c r="B21" s="13"/>
      <c r="C21" s="13"/>
      <c r="D21" s="14"/>
      <c r="E21" s="15"/>
      <c r="F21" s="16"/>
      <c r="G21" s="16"/>
      <c r="H21" s="16"/>
      <c r="I21" s="16"/>
      <c r="J21" s="16"/>
      <c r="K21" s="15"/>
      <c r="L21" s="17" t="str">
        <f aca="false">IF(OR($D21="",$F21=0),"",$E21/$F21)</f>
        <v/>
      </c>
      <c r="M21" s="18" t="str">
        <f aca="false">IF(OR($D21="",$F21=0),"",$G21/$F21)</f>
        <v/>
      </c>
      <c r="N21" s="18" t="str">
        <f aca="false">IF(OR($D21="",$F21=0),"",$H21/$F21)</f>
        <v/>
      </c>
      <c r="O21" s="17" t="str">
        <f aca="false">IF(OR($D21="",$H21=0),"",$E21/$H21)</f>
        <v/>
      </c>
      <c r="P21" s="17" t="str">
        <f aca="false">IF(OR($D21="",$J21=0),"",($E21+$K21)/$J21)</f>
        <v/>
      </c>
      <c r="Q21" s="20"/>
    </row>
    <row r="22" customFormat="false" ht="15" hidden="false" customHeight="false" outlineLevel="0" collapsed="false">
      <c r="A22" s="13"/>
      <c r="B22" s="13"/>
      <c r="C22" s="13"/>
      <c r="D22" s="14"/>
      <c r="E22" s="15"/>
      <c r="F22" s="16"/>
      <c r="G22" s="16"/>
      <c r="H22" s="16"/>
      <c r="I22" s="16"/>
      <c r="J22" s="16"/>
      <c r="K22" s="15"/>
      <c r="L22" s="17" t="str">
        <f aca="false">IF(OR($D22="",$F22=0),"",$E22/$F22)</f>
        <v/>
      </c>
      <c r="M22" s="18" t="str">
        <f aca="false">IF(OR($D22="",$F22=0),"",$G22/$F22)</f>
        <v/>
      </c>
      <c r="N22" s="18" t="str">
        <f aca="false">IF(OR($D22="",$F22=0),"",$H22/$F22)</f>
        <v/>
      </c>
      <c r="O22" s="17" t="str">
        <f aca="false">IF(OR($D22="",$H22=0),"",$E22/$H22)</f>
        <v/>
      </c>
      <c r="P22" s="17" t="str">
        <f aca="false">IF(OR($D22="",$J22=0),"",($E22+$K22)/$J22)</f>
        <v/>
      </c>
      <c r="Q22" s="20"/>
    </row>
    <row r="23" customFormat="false" ht="15" hidden="false" customHeight="false" outlineLevel="0" collapsed="false">
      <c r="A23" s="13"/>
      <c r="B23" s="13"/>
      <c r="C23" s="13"/>
      <c r="D23" s="14"/>
      <c r="E23" s="15"/>
      <c r="F23" s="16"/>
      <c r="G23" s="16"/>
      <c r="H23" s="16"/>
      <c r="I23" s="16"/>
      <c r="J23" s="16"/>
      <c r="K23" s="15"/>
      <c r="L23" s="17" t="str">
        <f aca="false">IF(OR($D23="",$F23=0),"",$E23/$F23)</f>
        <v/>
      </c>
      <c r="M23" s="18" t="str">
        <f aca="false">IF(OR($D23="",$F23=0),"",$G23/$F23)</f>
        <v/>
      </c>
      <c r="N23" s="18" t="str">
        <f aca="false">IF(OR($D23="",$F23=0),"",$H23/$F23)</f>
        <v/>
      </c>
      <c r="O23" s="17" t="str">
        <f aca="false">IF(OR($D23="",$H23=0),"",$E23/$H23)</f>
        <v/>
      </c>
      <c r="P23" s="17" t="str">
        <f aca="false">IF(OR($D23="",$J23=0),"",($E23+$K23)/$J23)</f>
        <v/>
      </c>
      <c r="Q23" s="20"/>
    </row>
    <row r="24" customFormat="false" ht="15" hidden="false" customHeight="false" outlineLevel="0" collapsed="false">
      <c r="A24" s="13"/>
      <c r="B24" s="13"/>
      <c r="C24" s="13"/>
      <c r="D24" s="14"/>
      <c r="E24" s="15"/>
      <c r="F24" s="16"/>
      <c r="G24" s="16"/>
      <c r="H24" s="16"/>
      <c r="I24" s="16"/>
      <c r="J24" s="16"/>
      <c r="K24" s="15"/>
      <c r="L24" s="17" t="str">
        <f aca="false">IF(OR($D24="",$F24=0),"",$E24/$F24)</f>
        <v/>
      </c>
      <c r="M24" s="18" t="str">
        <f aca="false">IF(OR($D24="",$F24=0),"",$G24/$F24)</f>
        <v/>
      </c>
      <c r="N24" s="18" t="str">
        <f aca="false">IF(OR($D24="",$F24=0),"",$H24/$F24)</f>
        <v/>
      </c>
      <c r="O24" s="17" t="str">
        <f aca="false">IF(OR($D24="",$H24=0),"",$E24/$H24)</f>
        <v/>
      </c>
      <c r="P24" s="17" t="str">
        <f aca="false">IF(OR($D24="",$J24=0),"",($E24+$K24)/$J24)</f>
        <v/>
      </c>
      <c r="Q24" s="20"/>
    </row>
    <row r="25" customFormat="false" ht="15" hidden="false" customHeight="false" outlineLevel="0" collapsed="false">
      <c r="A25" s="13"/>
      <c r="B25" s="13"/>
      <c r="C25" s="13"/>
      <c r="D25" s="14"/>
      <c r="E25" s="15"/>
      <c r="F25" s="16"/>
      <c r="G25" s="16"/>
      <c r="H25" s="16"/>
      <c r="I25" s="16"/>
      <c r="J25" s="16"/>
      <c r="K25" s="15"/>
      <c r="L25" s="17" t="str">
        <f aca="false">IF(OR($D25="",$F25=0),"",$E25/$F25)</f>
        <v/>
      </c>
      <c r="M25" s="18" t="str">
        <f aca="false">IF(OR($D25="",$F25=0),"",$G25/$F25)</f>
        <v/>
      </c>
      <c r="N25" s="18" t="str">
        <f aca="false">IF(OR($D25="",$F25=0),"",$H25/$F25)</f>
        <v/>
      </c>
      <c r="O25" s="17" t="str">
        <f aca="false">IF(OR($D25="",$H25=0),"",$E25/$H25)</f>
        <v/>
      </c>
      <c r="P25" s="17" t="str">
        <f aca="false">IF(OR($D25="",$J25=0),"",($E25+$K25)/$J25)</f>
        <v/>
      </c>
      <c r="Q25" s="20"/>
    </row>
    <row r="26" customFormat="false" ht="15" hidden="false" customHeight="false" outlineLevel="0" collapsed="false">
      <c r="A26" s="13"/>
      <c r="B26" s="13"/>
      <c r="C26" s="13"/>
      <c r="D26" s="14"/>
      <c r="E26" s="15"/>
      <c r="F26" s="16"/>
      <c r="G26" s="16"/>
      <c r="H26" s="16"/>
      <c r="I26" s="16"/>
      <c r="J26" s="16"/>
      <c r="K26" s="15"/>
      <c r="L26" s="17" t="str">
        <f aca="false">IF(OR($D26="",$F26=0),"",$E26/$F26)</f>
        <v/>
      </c>
      <c r="M26" s="18" t="str">
        <f aca="false">IF(OR($D26="",$F26=0),"",$G26/$F26)</f>
        <v/>
      </c>
      <c r="N26" s="18" t="str">
        <f aca="false">IF(OR($D26="",$F26=0),"",$H26/$F26)</f>
        <v/>
      </c>
      <c r="O26" s="17" t="str">
        <f aca="false">IF(OR($D26="",$H26=0),"",$E26/$H26)</f>
        <v/>
      </c>
      <c r="P26" s="17" t="str">
        <f aca="false">IF(OR($D26="",$J26=0),"",($E26+$K26)/$J26)</f>
        <v/>
      </c>
      <c r="Q26" s="20"/>
    </row>
    <row r="27" customFormat="false" ht="15" hidden="false" customHeight="false" outlineLevel="0" collapsed="false">
      <c r="A27" s="13"/>
      <c r="B27" s="13"/>
      <c r="C27" s="13"/>
      <c r="D27" s="14"/>
      <c r="E27" s="15"/>
      <c r="F27" s="16"/>
      <c r="G27" s="16"/>
      <c r="H27" s="16"/>
      <c r="I27" s="16"/>
      <c r="J27" s="16"/>
      <c r="K27" s="15"/>
      <c r="L27" s="17" t="str">
        <f aca="false">IF(OR($D27="",$F27=0),"",$E27/$F27)</f>
        <v/>
      </c>
      <c r="M27" s="18" t="str">
        <f aca="false">IF(OR($D27="",$F27=0),"",$G27/$F27)</f>
        <v/>
      </c>
      <c r="N27" s="18" t="str">
        <f aca="false">IF(OR($D27="",$F27=0),"",$H27/$F27)</f>
        <v/>
      </c>
      <c r="O27" s="17" t="str">
        <f aca="false">IF(OR($D27="",$H27=0),"",$E27/$H27)</f>
        <v/>
      </c>
      <c r="P27" s="17" t="str">
        <f aca="false">IF(OR($D27="",$J27=0),"",($E27+$K27)/$J27)</f>
        <v/>
      </c>
      <c r="Q27" s="20"/>
    </row>
    <row r="28" customFormat="false" ht="15" hidden="false" customHeight="false" outlineLevel="0" collapsed="false">
      <c r="A28" s="13"/>
      <c r="B28" s="13"/>
      <c r="C28" s="13"/>
      <c r="D28" s="14"/>
      <c r="E28" s="15"/>
      <c r="F28" s="16"/>
      <c r="G28" s="16"/>
      <c r="H28" s="16"/>
      <c r="I28" s="16"/>
      <c r="J28" s="16"/>
      <c r="K28" s="15"/>
      <c r="L28" s="17" t="str">
        <f aca="false">IF(OR($D28="",$F28=0),"",$E28/$F28)</f>
        <v/>
      </c>
      <c r="M28" s="18" t="str">
        <f aca="false">IF(OR($D28="",$F28=0),"",$G28/$F28)</f>
        <v/>
      </c>
      <c r="N28" s="18" t="str">
        <f aca="false">IF(OR($D28="",$F28=0),"",$H28/$F28)</f>
        <v/>
      </c>
      <c r="O28" s="17" t="str">
        <f aca="false">IF(OR($D28="",$H28=0),"",$E28/$H28)</f>
        <v/>
      </c>
      <c r="P28" s="17" t="str">
        <f aca="false">IF(OR($D28="",$J28=0),"",($E28+$K28)/$J28)</f>
        <v/>
      </c>
      <c r="Q28" s="20"/>
    </row>
    <row r="29" customFormat="false" ht="15" hidden="false" customHeight="false" outlineLevel="0" collapsed="false">
      <c r="A29" s="13"/>
      <c r="B29" s="13"/>
      <c r="C29" s="13"/>
      <c r="D29" s="14"/>
      <c r="E29" s="15"/>
      <c r="F29" s="16"/>
      <c r="G29" s="16"/>
      <c r="H29" s="16"/>
      <c r="I29" s="16"/>
      <c r="J29" s="16"/>
      <c r="K29" s="15"/>
      <c r="L29" s="17" t="str">
        <f aca="false">IF(OR($D29="",$F29=0),"",$E29/$F29)</f>
        <v/>
      </c>
      <c r="M29" s="18" t="str">
        <f aca="false">IF(OR($D29="",$F29=0),"",$G29/$F29)</f>
        <v/>
      </c>
      <c r="N29" s="18" t="str">
        <f aca="false">IF(OR($D29="",$F29=0),"",$H29/$F29)</f>
        <v/>
      </c>
      <c r="O29" s="17" t="str">
        <f aca="false">IF(OR($D29="",$H29=0),"",$E29/$H29)</f>
        <v/>
      </c>
      <c r="P29" s="17" t="str">
        <f aca="false">IF(OR($D29="",$J29=0),"",($E29+$K29)/$J29)</f>
        <v/>
      </c>
      <c r="Q29" s="20"/>
    </row>
    <row r="30" customFormat="false" ht="15" hidden="false" customHeight="false" outlineLevel="0" collapsed="false">
      <c r="A30" s="13"/>
      <c r="B30" s="13"/>
      <c r="C30" s="13"/>
      <c r="D30" s="14"/>
      <c r="E30" s="15"/>
      <c r="F30" s="16"/>
      <c r="G30" s="16"/>
      <c r="H30" s="16"/>
      <c r="I30" s="16"/>
      <c r="J30" s="16"/>
      <c r="K30" s="15"/>
      <c r="L30" s="17" t="str">
        <f aca="false">IF(OR($D30="",$F30=0),"",$E30/$F30)</f>
        <v/>
      </c>
      <c r="M30" s="18" t="str">
        <f aca="false">IF(OR($D30="",$F30=0),"",$G30/$F30)</f>
        <v/>
      </c>
      <c r="N30" s="18" t="str">
        <f aca="false">IF(OR($D30="",$F30=0),"",$H30/$F30)</f>
        <v/>
      </c>
      <c r="O30" s="17" t="str">
        <f aca="false">IF(OR($D30="",$H30=0),"",$E30/$H30)</f>
        <v/>
      </c>
      <c r="P30" s="17" t="str">
        <f aca="false">IF(OR($D30="",$J30=0),"",($E30+$K30)/$J30)</f>
        <v/>
      </c>
      <c r="Q30" s="20"/>
    </row>
    <row r="31" customFormat="false" ht="15" hidden="false" customHeight="false" outlineLevel="0" collapsed="false">
      <c r="A31" s="13"/>
      <c r="B31" s="13"/>
      <c r="C31" s="13"/>
      <c r="D31" s="14"/>
      <c r="E31" s="15"/>
      <c r="F31" s="16"/>
      <c r="G31" s="16"/>
      <c r="H31" s="16"/>
      <c r="I31" s="16"/>
      <c r="J31" s="16"/>
      <c r="K31" s="15"/>
      <c r="L31" s="17" t="str">
        <f aca="false">IF(OR($D31="",$F31=0),"",$E31/$F31)</f>
        <v/>
      </c>
      <c r="M31" s="18" t="str">
        <f aca="false">IF(OR($D31="",$F31=0),"",$G31/$F31)</f>
        <v/>
      </c>
      <c r="N31" s="18" t="str">
        <f aca="false">IF(OR($D31="",$F31=0),"",$H31/$F31)</f>
        <v/>
      </c>
      <c r="O31" s="17" t="str">
        <f aca="false">IF(OR($D31="",$H31=0),"",$E31/$H31)</f>
        <v/>
      </c>
      <c r="P31" s="17" t="str">
        <f aca="false">IF(OR($D31="",$J31=0),"",($E31+$K31)/$J31)</f>
        <v/>
      </c>
      <c r="Q31" s="20"/>
    </row>
    <row r="32" customFormat="false" ht="15" hidden="false" customHeight="false" outlineLevel="0" collapsed="false">
      <c r="A32" s="13"/>
      <c r="B32" s="13"/>
      <c r="C32" s="13"/>
      <c r="D32" s="14"/>
      <c r="E32" s="15"/>
      <c r="F32" s="16"/>
      <c r="G32" s="16"/>
      <c r="H32" s="16"/>
      <c r="I32" s="16"/>
      <c r="J32" s="16"/>
      <c r="K32" s="15"/>
      <c r="L32" s="17" t="str">
        <f aca="false">IF(OR($D32="",$F32=0),"",$E32/$F32)</f>
        <v/>
      </c>
      <c r="M32" s="18" t="str">
        <f aca="false">IF(OR($D32="",$F32=0),"",$G32/$F32)</f>
        <v/>
      </c>
      <c r="N32" s="18" t="str">
        <f aca="false">IF(OR($D32="",$F32=0),"",$H32/$F32)</f>
        <v/>
      </c>
      <c r="O32" s="17" t="str">
        <f aca="false">IF(OR($D32="",$H32=0),"",$E32/$H32)</f>
        <v/>
      </c>
      <c r="P32" s="17" t="str">
        <f aca="false">IF(OR($D32="",$J32=0),"",($E32+$K32)/$J32)</f>
        <v/>
      </c>
      <c r="Q32" s="20"/>
    </row>
    <row r="33" customFormat="false" ht="15" hidden="false" customHeight="false" outlineLevel="0" collapsed="false">
      <c r="A33" s="13"/>
      <c r="B33" s="13"/>
      <c r="C33" s="13"/>
      <c r="D33" s="14"/>
      <c r="E33" s="15"/>
      <c r="F33" s="16"/>
      <c r="G33" s="16"/>
      <c r="H33" s="16"/>
      <c r="I33" s="16"/>
      <c r="J33" s="16"/>
      <c r="K33" s="15"/>
      <c r="L33" s="17" t="str">
        <f aca="false">IF(OR($D33="",$F33=0),"",$E33/$F33)</f>
        <v/>
      </c>
      <c r="M33" s="18" t="str">
        <f aca="false">IF(OR($D33="",$F33=0),"",$G33/$F33)</f>
        <v/>
      </c>
      <c r="N33" s="18" t="str">
        <f aca="false">IF(OR($D33="",$F33=0),"",$H33/$F33)</f>
        <v/>
      </c>
      <c r="O33" s="17" t="str">
        <f aca="false">IF(OR($D33="",$H33=0),"",$E33/$H33)</f>
        <v/>
      </c>
      <c r="P33" s="17" t="str">
        <f aca="false">IF(OR($D33="",$J33=0),"",($E33+$K33)/$J33)</f>
        <v/>
      </c>
      <c r="Q33" s="20"/>
    </row>
    <row r="34" customFormat="false" ht="15" hidden="false" customHeight="false" outlineLevel="0" collapsed="false">
      <c r="A34" s="13"/>
      <c r="B34" s="13"/>
      <c r="C34" s="13"/>
      <c r="D34" s="14"/>
      <c r="E34" s="15"/>
      <c r="F34" s="16"/>
      <c r="G34" s="16"/>
      <c r="H34" s="16"/>
      <c r="I34" s="16"/>
      <c r="J34" s="16"/>
      <c r="K34" s="15"/>
      <c r="L34" s="17" t="str">
        <f aca="false">IF(OR($D34="",$F34=0),"",$E34/$F34)</f>
        <v/>
      </c>
      <c r="M34" s="18" t="str">
        <f aca="false">IF(OR($D34="",$F34=0),"",$G34/$F34)</f>
        <v/>
      </c>
      <c r="N34" s="18" t="str">
        <f aca="false">IF(OR($D34="",$F34=0),"",$H34/$F34)</f>
        <v/>
      </c>
      <c r="O34" s="17" t="str">
        <f aca="false">IF(OR($D34="",$H34=0),"",$E34/$H34)</f>
        <v/>
      </c>
      <c r="P34" s="17" t="str">
        <f aca="false">IF(OR($D34="",$J34=0),"",($E34+$K34)/$J34)</f>
        <v/>
      </c>
      <c r="Q34" s="20"/>
    </row>
    <row r="35" customFormat="false" ht="15" hidden="false" customHeight="false" outlineLevel="0" collapsed="false">
      <c r="A35" s="13"/>
      <c r="B35" s="13"/>
      <c r="C35" s="13"/>
      <c r="D35" s="14"/>
      <c r="E35" s="15"/>
      <c r="F35" s="16"/>
      <c r="G35" s="16"/>
      <c r="H35" s="16"/>
      <c r="I35" s="16"/>
      <c r="J35" s="16"/>
      <c r="K35" s="15"/>
      <c r="L35" s="17" t="str">
        <f aca="false">IF(OR($D35="",$F35=0),"",$E35/$F35)</f>
        <v/>
      </c>
      <c r="M35" s="18" t="str">
        <f aca="false">IF(OR($D35="",$F35=0),"",$G35/$F35)</f>
        <v/>
      </c>
      <c r="N35" s="18" t="str">
        <f aca="false">IF(OR($D35="",$F35=0),"",$H35/$F35)</f>
        <v/>
      </c>
      <c r="O35" s="17" t="str">
        <f aca="false">IF(OR($D35="",$H35=0),"",$E35/$H35)</f>
        <v/>
      </c>
      <c r="P35" s="17" t="str">
        <f aca="false">IF(OR($D35="",$J35=0),"",($E35+$K35)/$J35)</f>
        <v/>
      </c>
      <c r="Q35" s="20"/>
    </row>
    <row r="36" customFormat="false" ht="15" hidden="false" customHeight="false" outlineLevel="0" collapsed="false">
      <c r="A36" s="13"/>
      <c r="B36" s="13"/>
      <c r="C36" s="13"/>
      <c r="D36" s="14"/>
      <c r="E36" s="15"/>
      <c r="F36" s="16"/>
      <c r="G36" s="16"/>
      <c r="H36" s="16"/>
      <c r="I36" s="16"/>
      <c r="J36" s="16"/>
      <c r="K36" s="15"/>
      <c r="L36" s="17" t="str">
        <f aca="false">IF(OR($D36="",$F36=0),"",$E36/$F36)</f>
        <v/>
      </c>
      <c r="M36" s="18" t="str">
        <f aca="false">IF(OR($D36="",$F36=0),"",$G36/$F36)</f>
        <v/>
      </c>
      <c r="N36" s="18" t="str">
        <f aca="false">IF(OR($D36="",$F36=0),"",$H36/$F36)</f>
        <v/>
      </c>
      <c r="O36" s="17" t="str">
        <f aca="false">IF(OR($D36="",$H36=0),"",$E36/$H36)</f>
        <v/>
      </c>
      <c r="P36" s="17" t="str">
        <f aca="false">IF(OR($D36="",$J36=0),"",($E36+$K36)/$J36)</f>
        <v/>
      </c>
      <c r="Q36" s="20"/>
    </row>
    <row r="37" customFormat="false" ht="15" hidden="false" customHeight="false" outlineLevel="0" collapsed="false">
      <c r="A37" s="13"/>
      <c r="B37" s="13"/>
      <c r="C37" s="13"/>
      <c r="D37" s="14"/>
      <c r="E37" s="15"/>
      <c r="F37" s="16"/>
      <c r="G37" s="16"/>
      <c r="H37" s="16"/>
      <c r="I37" s="16"/>
      <c r="J37" s="16"/>
      <c r="K37" s="15"/>
      <c r="L37" s="17" t="str">
        <f aca="false">IF(OR($D37="",$F37=0),"",$E37/$F37)</f>
        <v/>
      </c>
      <c r="M37" s="18" t="str">
        <f aca="false">IF(OR($D37="",$F37=0),"",$G37/$F37)</f>
        <v/>
      </c>
      <c r="N37" s="18" t="str">
        <f aca="false">IF(OR($D37="",$F37=0),"",$H37/$F37)</f>
        <v/>
      </c>
      <c r="O37" s="17" t="str">
        <f aca="false">IF(OR($D37="",$H37=0),"",$E37/$H37)</f>
        <v/>
      </c>
      <c r="P37" s="17" t="str">
        <f aca="false">IF(OR($D37="",$J37=0),"",($E37+$K37)/$J37)</f>
        <v/>
      </c>
      <c r="Q37" s="20"/>
    </row>
    <row r="38" customFormat="false" ht="15" hidden="false" customHeight="false" outlineLevel="0" collapsed="false">
      <c r="A38" s="13"/>
      <c r="B38" s="13"/>
      <c r="C38" s="13"/>
      <c r="D38" s="14"/>
      <c r="E38" s="15"/>
      <c r="F38" s="16"/>
      <c r="G38" s="16"/>
      <c r="H38" s="16"/>
      <c r="I38" s="16"/>
      <c r="J38" s="16"/>
      <c r="K38" s="15"/>
      <c r="L38" s="17" t="str">
        <f aca="false">IF(OR($D38="",$F38=0),"",$E38/$F38)</f>
        <v/>
      </c>
      <c r="M38" s="18" t="str">
        <f aca="false">IF(OR($D38="",$F38=0),"",$G38/$F38)</f>
        <v/>
      </c>
      <c r="N38" s="18" t="str">
        <f aca="false">IF(OR($D38="",$F38=0),"",$H38/$F38)</f>
        <v/>
      </c>
      <c r="O38" s="17" t="str">
        <f aca="false">IF(OR($D38="",$H38=0),"",$E38/$H38)</f>
        <v/>
      </c>
      <c r="P38" s="17" t="str">
        <f aca="false">IF(OR($D38="",$J38=0),"",($E38+$K38)/$J38)</f>
        <v/>
      </c>
      <c r="Q38" s="20"/>
    </row>
    <row r="39" customFormat="false" ht="15" hidden="false" customHeight="false" outlineLevel="0" collapsed="false">
      <c r="A39" s="13"/>
      <c r="B39" s="13"/>
      <c r="C39" s="13"/>
      <c r="D39" s="14"/>
      <c r="E39" s="15"/>
      <c r="F39" s="16"/>
      <c r="G39" s="16"/>
      <c r="H39" s="16"/>
      <c r="I39" s="16"/>
      <c r="J39" s="16"/>
      <c r="K39" s="15"/>
      <c r="L39" s="17" t="str">
        <f aca="false">IF(OR($D39="",$F39=0),"",$E39/$F39)</f>
        <v/>
      </c>
      <c r="M39" s="18" t="str">
        <f aca="false">IF(OR($D39="",$F39=0),"",$G39/$F39)</f>
        <v/>
      </c>
      <c r="N39" s="18" t="str">
        <f aca="false">IF(OR($D39="",$F39=0),"",$H39/$F39)</f>
        <v/>
      </c>
      <c r="O39" s="17" t="str">
        <f aca="false">IF(OR($D39="",$H39=0),"",$E39/$H39)</f>
        <v/>
      </c>
      <c r="P39" s="17" t="str">
        <f aca="false">IF(OR($D39="",$J39=0),"",($E39+$K39)/$J39)</f>
        <v/>
      </c>
      <c r="Q39" s="20"/>
    </row>
    <row r="40" customFormat="false" ht="15" hidden="false" customHeight="false" outlineLevel="0" collapsed="false">
      <c r="A40" s="13"/>
      <c r="B40" s="13"/>
      <c r="C40" s="13"/>
      <c r="D40" s="14"/>
      <c r="E40" s="15"/>
      <c r="F40" s="16"/>
      <c r="G40" s="16"/>
      <c r="H40" s="16"/>
      <c r="I40" s="16"/>
      <c r="J40" s="16"/>
      <c r="K40" s="15"/>
      <c r="L40" s="17" t="str">
        <f aca="false">IF(OR($D40="",$F40=0),"",$E40/$F40)</f>
        <v/>
      </c>
      <c r="M40" s="18" t="str">
        <f aca="false">IF(OR($D40="",$F40=0),"",$G40/$F40)</f>
        <v/>
      </c>
      <c r="N40" s="18" t="str">
        <f aca="false">IF(OR($D40="",$F40=0),"",$H40/$F40)</f>
        <v/>
      </c>
      <c r="O40" s="17" t="str">
        <f aca="false">IF(OR($D40="",$H40=0),"",$E40/$H40)</f>
        <v/>
      </c>
      <c r="P40" s="17" t="str">
        <f aca="false">IF(OR($D40="",$J40=0),"",($E40+$K40)/$J40)</f>
        <v/>
      </c>
      <c r="Q40" s="20"/>
    </row>
    <row r="41" customFormat="false" ht="15" hidden="false" customHeight="false" outlineLevel="0" collapsed="false">
      <c r="A41" s="13"/>
      <c r="B41" s="13"/>
      <c r="C41" s="13"/>
      <c r="D41" s="14"/>
      <c r="E41" s="15"/>
      <c r="F41" s="16"/>
      <c r="G41" s="16"/>
      <c r="H41" s="16"/>
      <c r="I41" s="16"/>
      <c r="J41" s="16"/>
      <c r="K41" s="15"/>
      <c r="L41" s="17" t="str">
        <f aca="false">IF(OR($D41="",$F41=0),"",$E41/$F41)</f>
        <v/>
      </c>
      <c r="M41" s="18" t="str">
        <f aca="false">IF(OR($D41="",$F41=0),"",$G41/$F41)</f>
        <v/>
      </c>
      <c r="N41" s="18" t="str">
        <f aca="false">IF(OR($D41="",$F41=0),"",$H41/$F41)</f>
        <v/>
      </c>
      <c r="O41" s="17" t="str">
        <f aca="false">IF(OR($D41="",$H41=0),"",$E41/$H41)</f>
        <v/>
      </c>
      <c r="P41" s="17" t="str">
        <f aca="false">IF(OR($D41="",$J41=0),"",($E41+$K41)/$J41)</f>
        <v/>
      </c>
      <c r="Q41" s="20"/>
    </row>
    <row r="42" customFormat="false" ht="15" hidden="false" customHeight="false" outlineLevel="0" collapsed="false">
      <c r="A42" s="13"/>
      <c r="B42" s="13"/>
      <c r="C42" s="13"/>
      <c r="D42" s="14"/>
      <c r="E42" s="15"/>
      <c r="F42" s="16"/>
      <c r="G42" s="16"/>
      <c r="H42" s="16"/>
      <c r="I42" s="16"/>
      <c r="J42" s="16"/>
      <c r="K42" s="15"/>
      <c r="L42" s="17" t="str">
        <f aca="false">IF(OR($D42="",$F42=0),"",$E42/$F42)</f>
        <v/>
      </c>
      <c r="M42" s="18" t="str">
        <f aca="false">IF(OR($D42="",$F42=0),"",$G42/$F42)</f>
        <v/>
      </c>
      <c r="N42" s="18" t="str">
        <f aca="false">IF(OR($D42="",$F42=0),"",$H42/$F42)</f>
        <v/>
      </c>
      <c r="O42" s="17" t="str">
        <f aca="false">IF(OR($D42="",$H42=0),"",$E42/$H42)</f>
        <v/>
      </c>
      <c r="P42" s="17" t="str">
        <f aca="false">IF(OR($D42="",$J42=0),"",($E42+$K42)/$J42)</f>
        <v/>
      </c>
      <c r="Q42" s="20"/>
    </row>
    <row r="43" customFormat="false" ht="15" hidden="false" customHeight="false" outlineLevel="0" collapsed="false">
      <c r="A43" s="13"/>
      <c r="B43" s="13"/>
      <c r="C43" s="13"/>
      <c r="D43" s="14"/>
      <c r="E43" s="15"/>
      <c r="F43" s="16"/>
      <c r="G43" s="16"/>
      <c r="H43" s="16"/>
      <c r="I43" s="16"/>
      <c r="J43" s="16"/>
      <c r="K43" s="15"/>
      <c r="L43" s="17" t="str">
        <f aca="false">IF(OR($D43="",$F43=0),"",$E43/$F43)</f>
        <v/>
      </c>
      <c r="M43" s="18" t="str">
        <f aca="false">IF(OR($D43="",$F43=0),"",$G43/$F43)</f>
        <v/>
      </c>
      <c r="N43" s="18" t="str">
        <f aca="false">IF(OR($D43="",$F43=0),"",$H43/$F43)</f>
        <v/>
      </c>
      <c r="O43" s="17" t="str">
        <f aca="false">IF(OR($D43="",$H43=0),"",$E43/$H43)</f>
        <v/>
      </c>
      <c r="P43" s="17" t="str">
        <f aca="false">IF(OR($D43="",$J43=0),"",($E43+$K43)/$J43)</f>
        <v/>
      </c>
      <c r="Q43" s="20"/>
    </row>
    <row r="44" customFormat="false" ht="15" hidden="false" customHeight="false" outlineLevel="0" collapsed="false">
      <c r="A44" s="13"/>
      <c r="B44" s="13"/>
      <c r="C44" s="13"/>
      <c r="D44" s="14"/>
      <c r="E44" s="15"/>
      <c r="F44" s="16"/>
      <c r="G44" s="16"/>
      <c r="H44" s="16"/>
      <c r="I44" s="16"/>
      <c r="J44" s="16"/>
      <c r="K44" s="15"/>
      <c r="L44" s="17" t="str">
        <f aca="false">IF(OR($D44="",$F44=0),"",$E44/$F44)</f>
        <v/>
      </c>
      <c r="M44" s="18" t="str">
        <f aca="false">IF(OR($D44="",$F44=0),"",$G44/$F44)</f>
        <v/>
      </c>
      <c r="N44" s="18" t="str">
        <f aca="false">IF(OR($D44="",$F44=0),"",$H44/$F44)</f>
        <v/>
      </c>
      <c r="O44" s="17" t="str">
        <f aca="false">IF(OR($D44="",$H44=0),"",$E44/$H44)</f>
        <v/>
      </c>
      <c r="P44" s="17" t="str">
        <f aca="false">IF(OR($D44="",$J44=0),"",($E44+$K44)/$J44)</f>
        <v/>
      </c>
      <c r="Q44" s="20"/>
    </row>
    <row r="45" customFormat="false" ht="15" hidden="false" customHeight="false" outlineLevel="0" collapsed="false">
      <c r="A45" s="13"/>
      <c r="B45" s="13"/>
      <c r="C45" s="13"/>
      <c r="D45" s="14"/>
      <c r="E45" s="15"/>
      <c r="F45" s="16"/>
      <c r="G45" s="16"/>
      <c r="H45" s="16"/>
      <c r="I45" s="16"/>
      <c r="J45" s="16"/>
      <c r="K45" s="15"/>
      <c r="L45" s="17" t="str">
        <f aca="false">IF(OR($D45="",$F45=0),"",$E45/$F45)</f>
        <v/>
      </c>
      <c r="M45" s="18" t="str">
        <f aca="false">IF(OR($D45="",$F45=0),"",$G45/$F45)</f>
        <v/>
      </c>
      <c r="N45" s="18" t="str">
        <f aca="false">IF(OR($D45="",$F45=0),"",$H45/$F45)</f>
        <v/>
      </c>
      <c r="O45" s="17" t="str">
        <f aca="false">IF(OR($D45="",$H45=0),"",$E45/$H45)</f>
        <v/>
      </c>
      <c r="P45" s="17" t="str">
        <f aca="false">IF(OR($D45="",$J45=0),"",($E45+$K45)/$J45)</f>
        <v/>
      </c>
      <c r="Q45" s="20"/>
    </row>
    <row r="46" customFormat="false" ht="15" hidden="false" customHeight="false" outlineLevel="0" collapsed="false">
      <c r="A46" s="13"/>
      <c r="B46" s="13"/>
      <c r="C46" s="13"/>
      <c r="D46" s="14"/>
      <c r="E46" s="15"/>
      <c r="F46" s="16"/>
      <c r="G46" s="16"/>
      <c r="H46" s="16"/>
      <c r="I46" s="16"/>
      <c r="J46" s="16"/>
      <c r="K46" s="15"/>
      <c r="L46" s="17" t="str">
        <f aca="false">IF(OR($D46="",$F46=0),"",$E46/$F46)</f>
        <v/>
      </c>
      <c r="M46" s="18" t="str">
        <f aca="false">IF(OR($D46="",$F46=0),"",$G46/$F46)</f>
        <v/>
      </c>
      <c r="N46" s="18" t="str">
        <f aca="false">IF(OR($D46="",$F46=0),"",$H46/$F46)</f>
        <v/>
      </c>
      <c r="O46" s="17" t="str">
        <f aca="false">IF(OR($D46="",$H46=0),"",$E46/$H46)</f>
        <v/>
      </c>
      <c r="P46" s="17" t="str">
        <f aca="false">IF(OR($D46="",$J46=0),"",($E46+$K46)/$J46)</f>
        <v/>
      </c>
      <c r="Q46" s="20"/>
    </row>
    <row r="47" customFormat="false" ht="15" hidden="false" customHeight="false" outlineLevel="0" collapsed="false">
      <c r="A47" s="13"/>
      <c r="B47" s="13"/>
      <c r="C47" s="13"/>
      <c r="D47" s="14"/>
      <c r="E47" s="15"/>
      <c r="F47" s="16"/>
      <c r="G47" s="16"/>
      <c r="H47" s="16"/>
      <c r="I47" s="16"/>
      <c r="J47" s="16"/>
      <c r="K47" s="15"/>
      <c r="L47" s="17" t="str">
        <f aca="false">IF(OR($D47="",$F47=0),"",$E47/$F47)</f>
        <v/>
      </c>
      <c r="M47" s="18" t="str">
        <f aca="false">IF(OR($D47="",$F47=0),"",$G47/$F47)</f>
        <v/>
      </c>
      <c r="N47" s="18" t="str">
        <f aca="false">IF(OR($D47="",$F47=0),"",$H47/$F47)</f>
        <v/>
      </c>
      <c r="O47" s="17" t="str">
        <f aca="false">IF(OR($D47="",$H47=0),"",$E47/$H47)</f>
        <v/>
      </c>
      <c r="P47" s="17" t="str">
        <f aca="false">IF(OR($D47="",$J47=0),"",($E47+$K47)/$J47)</f>
        <v/>
      </c>
      <c r="Q47" s="20"/>
    </row>
    <row r="48" customFormat="false" ht="15" hidden="false" customHeight="false" outlineLevel="0" collapsed="false">
      <c r="A48" s="13"/>
      <c r="B48" s="13"/>
      <c r="C48" s="13"/>
      <c r="D48" s="14"/>
      <c r="E48" s="15"/>
      <c r="F48" s="16"/>
      <c r="G48" s="16"/>
      <c r="H48" s="16"/>
      <c r="I48" s="16"/>
      <c r="J48" s="16"/>
      <c r="K48" s="15"/>
      <c r="L48" s="17" t="str">
        <f aca="false">IF(OR($D48="",$F48=0),"",$E48/$F48)</f>
        <v/>
      </c>
      <c r="M48" s="18" t="str">
        <f aca="false">IF(OR($D48="",$F48=0),"",$G48/$F48)</f>
        <v/>
      </c>
      <c r="N48" s="18" t="str">
        <f aca="false">IF(OR($D48="",$F48=0),"",$H48/$F48)</f>
        <v/>
      </c>
      <c r="O48" s="17" t="str">
        <f aca="false">IF(OR($D48="",$H48=0),"",$E48/$H48)</f>
        <v/>
      </c>
      <c r="P48" s="17" t="str">
        <f aca="false">IF(OR($D48="",$J48=0),"",($E48+$K48)/$J48)</f>
        <v/>
      </c>
      <c r="Q48" s="20"/>
    </row>
    <row r="49" customFormat="false" ht="15" hidden="false" customHeight="false" outlineLevel="0" collapsed="false">
      <c r="A49" s="13"/>
      <c r="B49" s="13"/>
      <c r="C49" s="13"/>
      <c r="D49" s="14"/>
      <c r="E49" s="15"/>
      <c r="F49" s="16"/>
      <c r="G49" s="16"/>
      <c r="H49" s="16"/>
      <c r="I49" s="16"/>
      <c r="J49" s="16"/>
      <c r="K49" s="15"/>
      <c r="L49" s="17" t="str">
        <f aca="false">IF(OR($D49="",$F49=0),"",$E49/$F49)</f>
        <v/>
      </c>
      <c r="M49" s="18" t="str">
        <f aca="false">IF(OR($D49="",$F49=0),"",$G49/$F49)</f>
        <v/>
      </c>
      <c r="N49" s="18" t="str">
        <f aca="false">IF(OR($D49="",$F49=0),"",$H49/$F49)</f>
        <v/>
      </c>
      <c r="O49" s="17" t="str">
        <f aca="false">IF(OR($D49="",$H49=0),"",$E49/$H49)</f>
        <v/>
      </c>
      <c r="P49" s="17" t="str">
        <f aca="false">IF(OR($D49="",$J49=0),"",($E49+$K49)/$J49)</f>
        <v/>
      </c>
      <c r="Q49" s="20"/>
    </row>
    <row r="50" customFormat="false" ht="15" hidden="false" customHeight="false" outlineLevel="0" collapsed="false">
      <c r="A50" s="13"/>
      <c r="B50" s="13"/>
      <c r="C50" s="13"/>
      <c r="D50" s="14"/>
      <c r="E50" s="15"/>
      <c r="F50" s="16"/>
      <c r="G50" s="16"/>
      <c r="H50" s="16"/>
      <c r="I50" s="16"/>
      <c r="J50" s="16"/>
      <c r="K50" s="15"/>
      <c r="L50" s="17" t="str">
        <f aca="false">IF(OR($D50="",$F50=0),"",$E50/$F50)</f>
        <v/>
      </c>
      <c r="M50" s="18" t="str">
        <f aca="false">IF(OR($D50="",$F50=0),"",$G50/$F50)</f>
        <v/>
      </c>
      <c r="N50" s="18" t="str">
        <f aca="false">IF(OR($D50="",$F50=0),"",$H50/$F50)</f>
        <v/>
      </c>
      <c r="O50" s="17" t="str">
        <f aca="false">IF(OR($D50="",$H50=0),"",$E50/$H50)</f>
        <v/>
      </c>
      <c r="P50" s="17" t="str">
        <f aca="false">IF(OR($D50="",$J50=0),"",($E50+$K50)/$J50)</f>
        <v/>
      </c>
      <c r="Q50" s="20"/>
    </row>
    <row r="51" customFormat="false" ht="15" hidden="false" customHeight="false" outlineLevel="0" collapsed="false">
      <c r="A51" s="13"/>
      <c r="B51" s="13"/>
      <c r="C51" s="13"/>
      <c r="D51" s="14"/>
      <c r="E51" s="15"/>
      <c r="F51" s="16"/>
      <c r="G51" s="16"/>
      <c r="H51" s="16"/>
      <c r="I51" s="16"/>
      <c r="J51" s="16"/>
      <c r="K51" s="15"/>
      <c r="L51" s="17" t="str">
        <f aca="false">IF(OR($D51="",$F51=0),"",$E51/$F51)</f>
        <v/>
      </c>
      <c r="M51" s="18" t="str">
        <f aca="false">IF(OR($D51="",$F51=0),"",$G51/$F51)</f>
        <v/>
      </c>
      <c r="N51" s="18" t="str">
        <f aca="false">IF(OR($D51="",$F51=0),"",$H51/$F51)</f>
        <v/>
      </c>
      <c r="O51" s="17" t="str">
        <f aca="false">IF(OR($D51="",$H51=0),"",$E51/$H51)</f>
        <v/>
      </c>
      <c r="P51" s="17" t="str">
        <f aca="false">IF(OR($D51="",$J51=0),"",($E51+$K51)/$J51)</f>
        <v/>
      </c>
      <c r="Q51" s="20"/>
    </row>
    <row r="52" customFormat="false" ht="15" hidden="false" customHeight="false" outlineLevel="0" collapsed="false">
      <c r="A52" s="13"/>
      <c r="B52" s="13"/>
      <c r="C52" s="13"/>
      <c r="D52" s="14"/>
      <c r="E52" s="15"/>
      <c r="F52" s="16"/>
      <c r="G52" s="16"/>
      <c r="H52" s="16"/>
      <c r="I52" s="16"/>
      <c r="J52" s="16"/>
      <c r="K52" s="15"/>
      <c r="L52" s="17" t="str">
        <f aca="false">IF(OR($D52="",$F52=0),"",$E52/$F52)</f>
        <v/>
      </c>
      <c r="M52" s="18" t="str">
        <f aca="false">IF(OR($D52="",$F52=0),"",$G52/$F52)</f>
        <v/>
      </c>
      <c r="N52" s="18" t="str">
        <f aca="false">IF(OR($D52="",$F52=0),"",$H52/$F52)</f>
        <v/>
      </c>
      <c r="O52" s="17" t="str">
        <f aca="false">IF(OR($D52="",$H52=0),"",$E52/$H52)</f>
        <v/>
      </c>
      <c r="P52" s="17" t="str">
        <f aca="false">IF(OR($D52="",$J52=0),"",($E52+$K52)/$J52)</f>
        <v/>
      </c>
      <c r="Q52" s="20"/>
    </row>
    <row r="53" customFormat="false" ht="15" hidden="false" customHeight="false" outlineLevel="0" collapsed="false">
      <c r="A53" s="13"/>
      <c r="B53" s="13"/>
      <c r="C53" s="13"/>
      <c r="D53" s="14"/>
      <c r="E53" s="15"/>
      <c r="F53" s="16"/>
      <c r="G53" s="16"/>
      <c r="H53" s="16"/>
      <c r="I53" s="16"/>
      <c r="J53" s="16"/>
      <c r="K53" s="15"/>
      <c r="L53" s="17" t="str">
        <f aca="false">IF(OR($D53="",$F53=0),"",$E53/$F53)</f>
        <v/>
      </c>
      <c r="M53" s="18" t="str">
        <f aca="false">IF(OR($D53="",$F53=0),"",$G53/$F53)</f>
        <v/>
      </c>
      <c r="N53" s="18" t="str">
        <f aca="false">IF(OR($D53="",$F53=0),"",$H53/$F53)</f>
        <v/>
      </c>
      <c r="O53" s="17" t="str">
        <f aca="false">IF(OR($D53="",$H53=0),"",$E53/$H53)</f>
        <v/>
      </c>
      <c r="P53" s="17" t="str">
        <f aca="false">IF(OR($D53="",$J53=0),"",($E53+$K53)/$J53)</f>
        <v/>
      </c>
      <c r="Q53" s="20"/>
    </row>
    <row r="54" customFormat="false" ht="15" hidden="false" customHeight="false" outlineLevel="0" collapsed="false">
      <c r="A54" s="13"/>
      <c r="B54" s="13"/>
      <c r="C54" s="13"/>
      <c r="D54" s="14"/>
      <c r="E54" s="15"/>
      <c r="F54" s="16"/>
      <c r="G54" s="16"/>
      <c r="H54" s="16"/>
      <c r="I54" s="16"/>
      <c r="J54" s="16"/>
      <c r="K54" s="15"/>
      <c r="L54" s="17" t="str">
        <f aca="false">IF(OR($D54="",$F54=0),"",$E54/$F54)</f>
        <v/>
      </c>
      <c r="M54" s="18" t="str">
        <f aca="false">IF(OR($D54="",$F54=0),"",$G54/$F54)</f>
        <v/>
      </c>
      <c r="N54" s="18" t="str">
        <f aca="false">IF(OR($D54="",$F54=0),"",$H54/$F54)</f>
        <v/>
      </c>
      <c r="O54" s="17" t="str">
        <f aca="false">IF(OR($D54="",$H54=0),"",$E54/$H54)</f>
        <v/>
      </c>
      <c r="P54" s="17" t="str">
        <f aca="false">IF(OR($D54="",$J54=0),"",($E54+$K54)/$J54)</f>
        <v/>
      </c>
      <c r="Q54" s="20"/>
    </row>
    <row r="55" customFormat="false" ht="15" hidden="false" customHeight="false" outlineLevel="0" collapsed="false">
      <c r="A55" s="13"/>
      <c r="B55" s="13"/>
      <c r="C55" s="13"/>
      <c r="D55" s="14"/>
      <c r="E55" s="15"/>
      <c r="F55" s="16"/>
      <c r="G55" s="16"/>
      <c r="H55" s="16"/>
      <c r="I55" s="16"/>
      <c r="J55" s="16"/>
      <c r="K55" s="15"/>
      <c r="L55" s="17" t="str">
        <f aca="false">IF(OR($D55="",$F55=0),"",$E55/$F55)</f>
        <v/>
      </c>
      <c r="M55" s="18" t="str">
        <f aca="false">IF(OR($D55="",$F55=0),"",$G55/$F55)</f>
        <v/>
      </c>
      <c r="N55" s="18" t="str">
        <f aca="false">IF(OR($D55="",$F55=0),"",$H55/$F55)</f>
        <v/>
      </c>
      <c r="O55" s="17" t="str">
        <f aca="false">IF(OR($D55="",$H55=0),"",$E55/$H55)</f>
        <v/>
      </c>
      <c r="P55" s="17" t="str">
        <f aca="false">IF(OR($D55="",$J55=0),"",($E55+$K55)/$J55)</f>
        <v/>
      </c>
      <c r="Q55" s="20"/>
    </row>
    <row r="56" customFormat="false" ht="15" hidden="false" customHeight="false" outlineLevel="0" collapsed="false">
      <c r="A56" s="13"/>
      <c r="B56" s="13"/>
      <c r="C56" s="13"/>
      <c r="D56" s="14"/>
      <c r="E56" s="15"/>
      <c r="F56" s="16"/>
      <c r="G56" s="16"/>
      <c r="H56" s="16"/>
      <c r="I56" s="16"/>
      <c r="J56" s="16"/>
      <c r="K56" s="15"/>
      <c r="L56" s="17" t="str">
        <f aca="false">IF(OR($D56="",$F56=0),"",$E56/$F56)</f>
        <v/>
      </c>
      <c r="M56" s="18" t="str">
        <f aca="false">IF(OR($D56="",$F56=0),"",$G56/$F56)</f>
        <v/>
      </c>
      <c r="N56" s="18" t="str">
        <f aca="false">IF(OR($D56="",$F56=0),"",$H56/$F56)</f>
        <v/>
      </c>
      <c r="O56" s="17" t="str">
        <f aca="false">IF(OR($D56="",$H56=0),"",$E56/$H56)</f>
        <v/>
      </c>
      <c r="P56" s="17" t="str">
        <f aca="false">IF(OR($D56="",$J56=0),"",($E56+$K56)/$J56)</f>
        <v/>
      </c>
      <c r="Q56" s="20"/>
    </row>
    <row r="57" customFormat="false" ht="15" hidden="false" customHeight="false" outlineLevel="0" collapsed="false">
      <c r="A57" s="13"/>
      <c r="B57" s="13"/>
      <c r="C57" s="13"/>
      <c r="D57" s="14"/>
      <c r="E57" s="15"/>
      <c r="F57" s="16"/>
      <c r="G57" s="16"/>
      <c r="H57" s="16"/>
      <c r="I57" s="16"/>
      <c r="J57" s="16"/>
      <c r="K57" s="15"/>
      <c r="L57" s="17" t="str">
        <f aca="false">IF(OR($D57="",$F57=0),"",$E57/$F57)</f>
        <v/>
      </c>
      <c r="M57" s="18" t="str">
        <f aca="false">IF(OR($D57="",$F57=0),"",$G57/$F57)</f>
        <v/>
      </c>
      <c r="N57" s="18" t="str">
        <f aca="false">IF(OR($D57="",$F57=0),"",$H57/$F57)</f>
        <v/>
      </c>
      <c r="O57" s="17" t="str">
        <f aca="false">IF(OR($D57="",$H57=0),"",$E57/$H57)</f>
        <v/>
      </c>
      <c r="P57" s="17" t="str">
        <f aca="false">IF(OR($D57="",$J57=0),"",($E57+$K57)/$J57)</f>
        <v/>
      </c>
      <c r="Q57" s="20"/>
    </row>
    <row r="58" customFormat="false" ht="15" hidden="false" customHeight="false" outlineLevel="0" collapsed="false">
      <c r="A58" s="13"/>
      <c r="B58" s="13"/>
      <c r="C58" s="13"/>
      <c r="D58" s="14"/>
      <c r="E58" s="15"/>
      <c r="F58" s="16"/>
      <c r="G58" s="16"/>
      <c r="H58" s="16"/>
      <c r="I58" s="16"/>
      <c r="J58" s="16"/>
      <c r="K58" s="15"/>
      <c r="L58" s="17" t="str">
        <f aca="false">IF(OR($D58="",$F58=0),"",$E58/$F58)</f>
        <v/>
      </c>
      <c r="M58" s="18" t="str">
        <f aca="false">IF(OR($D58="",$F58=0),"",$G58/$F58)</f>
        <v/>
      </c>
      <c r="N58" s="18" t="str">
        <f aca="false">IF(OR($D58="",$F58=0),"",$H58/$F58)</f>
        <v/>
      </c>
      <c r="O58" s="17" t="str">
        <f aca="false">IF(OR($D58="",$H58=0),"",$E58/$H58)</f>
        <v/>
      </c>
      <c r="P58" s="17" t="str">
        <f aca="false">IF(OR($D58="",$J58=0),"",($E58+$K58)/$J58)</f>
        <v/>
      </c>
      <c r="Q58" s="20"/>
    </row>
    <row r="59" customFormat="false" ht="15" hidden="false" customHeight="false" outlineLevel="0" collapsed="false">
      <c r="A59" s="13"/>
      <c r="B59" s="13"/>
      <c r="C59" s="13"/>
      <c r="D59" s="14"/>
      <c r="E59" s="15"/>
      <c r="F59" s="16"/>
      <c r="G59" s="16"/>
      <c r="H59" s="16"/>
      <c r="I59" s="16"/>
      <c r="J59" s="16"/>
      <c r="K59" s="15"/>
      <c r="L59" s="17" t="str">
        <f aca="false">IF(OR($D59="",$F59=0),"",$E59/$F59)</f>
        <v/>
      </c>
      <c r="M59" s="18" t="str">
        <f aca="false">IF(OR($D59="",$F59=0),"",$G59/$F59)</f>
        <v/>
      </c>
      <c r="N59" s="18" t="str">
        <f aca="false">IF(OR($D59="",$F59=0),"",$H59/$F59)</f>
        <v/>
      </c>
      <c r="O59" s="17" t="str">
        <f aca="false">IF(OR($D59="",$H59=0),"",$E59/$H59)</f>
        <v/>
      </c>
      <c r="P59" s="17" t="str">
        <f aca="false">IF(OR($D59="",$J59=0),"",($E59+$K59)/$J59)</f>
        <v/>
      </c>
      <c r="Q59" s="20"/>
    </row>
    <row r="60" customFormat="false" ht="15" hidden="false" customHeight="false" outlineLevel="0" collapsed="false">
      <c r="A60" s="13"/>
      <c r="B60" s="13"/>
      <c r="C60" s="13"/>
      <c r="D60" s="14"/>
      <c r="E60" s="15"/>
      <c r="F60" s="16"/>
      <c r="G60" s="16"/>
      <c r="H60" s="16"/>
      <c r="I60" s="16"/>
      <c r="J60" s="16"/>
      <c r="K60" s="15"/>
      <c r="L60" s="17" t="str">
        <f aca="false">IF(OR($D60="",$F60=0),"",$E60/$F60)</f>
        <v/>
      </c>
      <c r="M60" s="18" t="str">
        <f aca="false">IF(OR($D60="",$F60=0),"",$G60/$F60)</f>
        <v/>
      </c>
      <c r="N60" s="18" t="str">
        <f aca="false">IF(OR($D60="",$F60=0),"",$H60/$F60)</f>
        <v/>
      </c>
      <c r="O60" s="17" t="str">
        <f aca="false">IF(OR($D60="",$H60=0),"",$E60/$H60)</f>
        <v/>
      </c>
      <c r="P60" s="17" t="str">
        <f aca="false">IF(OR($D60="",$J60=0),"",($E60+$K60)/$J60)</f>
        <v/>
      </c>
      <c r="Q60" s="20"/>
    </row>
    <row r="61" customFormat="false" ht="15" hidden="false" customHeight="false" outlineLevel="0" collapsed="false">
      <c r="A61" s="13"/>
      <c r="B61" s="13"/>
      <c r="C61" s="13"/>
      <c r="D61" s="14"/>
      <c r="E61" s="15"/>
      <c r="F61" s="16"/>
      <c r="G61" s="16"/>
      <c r="H61" s="16"/>
      <c r="I61" s="16"/>
      <c r="J61" s="16"/>
      <c r="K61" s="15"/>
      <c r="L61" s="17" t="str">
        <f aca="false">IF(OR($D61="",$F61=0),"",$E61/$F61)</f>
        <v/>
      </c>
      <c r="M61" s="18" t="str">
        <f aca="false">IF(OR($D61="",$F61=0),"",$G61/$F61)</f>
        <v/>
      </c>
      <c r="N61" s="18" t="str">
        <f aca="false">IF(OR($D61="",$F61=0),"",$H61/$F61)</f>
        <v/>
      </c>
      <c r="O61" s="17" t="str">
        <f aca="false">IF(OR($D61="",$H61=0),"",$E61/$H61)</f>
        <v/>
      </c>
      <c r="P61" s="17" t="str">
        <f aca="false">IF(OR($D61="",$J61=0),"",($E61+$K61)/$J61)</f>
        <v/>
      </c>
      <c r="Q61" s="20"/>
    </row>
    <row r="62" customFormat="false" ht="15" hidden="false" customHeight="false" outlineLevel="0" collapsed="false">
      <c r="A62" s="13"/>
      <c r="B62" s="13"/>
      <c r="C62" s="13"/>
      <c r="D62" s="14"/>
      <c r="E62" s="15"/>
      <c r="F62" s="16"/>
      <c r="G62" s="16"/>
      <c r="H62" s="16"/>
      <c r="I62" s="16"/>
      <c r="J62" s="16"/>
      <c r="K62" s="15"/>
      <c r="L62" s="17" t="str">
        <f aca="false">IF(OR($D62="",$F62=0),"",$E62/$F62)</f>
        <v/>
      </c>
      <c r="M62" s="18" t="str">
        <f aca="false">IF(OR($D62="",$F62=0),"",$G62/$F62)</f>
        <v/>
      </c>
      <c r="N62" s="18" t="str">
        <f aca="false">IF(OR($D62="",$F62=0),"",$H62/$F62)</f>
        <v/>
      </c>
      <c r="O62" s="17" t="str">
        <f aca="false">IF(OR($D62="",$H62=0),"",$E62/$H62)</f>
        <v/>
      </c>
      <c r="P62" s="17" t="str">
        <f aca="false">IF(OR($D62="",$J62=0),"",($E62+$K62)/$J62)</f>
        <v/>
      </c>
      <c r="Q62" s="20"/>
    </row>
    <row r="63" customFormat="false" ht="15" hidden="false" customHeight="false" outlineLevel="0" collapsed="false">
      <c r="A63" s="13"/>
      <c r="B63" s="13"/>
      <c r="C63" s="13"/>
      <c r="D63" s="14"/>
      <c r="E63" s="15"/>
      <c r="F63" s="16"/>
      <c r="G63" s="16"/>
      <c r="H63" s="16"/>
      <c r="I63" s="16"/>
      <c r="J63" s="16"/>
      <c r="K63" s="15"/>
      <c r="L63" s="17" t="str">
        <f aca="false">IF(OR($D63="",$F63=0),"",$E63/$F63)</f>
        <v/>
      </c>
      <c r="M63" s="18" t="str">
        <f aca="false">IF(OR($D63="",$F63=0),"",$G63/$F63)</f>
        <v/>
      </c>
      <c r="N63" s="18" t="str">
        <f aca="false">IF(OR($D63="",$F63=0),"",$H63/$F63)</f>
        <v/>
      </c>
      <c r="O63" s="17" t="str">
        <f aca="false">IF(OR($D63="",$H63=0),"",$E63/$H63)</f>
        <v/>
      </c>
      <c r="P63" s="17" t="str">
        <f aca="false">IF(OR($D63="",$J63=0),"",($E63+$K63)/$J63)</f>
        <v/>
      </c>
      <c r="Q63" s="20"/>
    </row>
    <row r="64" customFormat="false" ht="15" hidden="false" customHeight="false" outlineLevel="0" collapsed="false">
      <c r="A64" s="13"/>
      <c r="B64" s="13"/>
      <c r="C64" s="13"/>
      <c r="D64" s="14"/>
      <c r="E64" s="15"/>
      <c r="F64" s="16"/>
      <c r="G64" s="16"/>
      <c r="H64" s="16"/>
      <c r="I64" s="16"/>
      <c r="J64" s="16"/>
      <c r="K64" s="15"/>
      <c r="L64" s="17" t="str">
        <f aca="false">IF(OR($D64="",$F64=0),"",$E64/$F64)</f>
        <v/>
      </c>
      <c r="M64" s="18" t="str">
        <f aca="false">IF(OR($D64="",$F64=0),"",$G64/$F64)</f>
        <v/>
      </c>
      <c r="N64" s="18" t="str">
        <f aca="false">IF(OR($D64="",$F64=0),"",$H64/$F64)</f>
        <v/>
      </c>
      <c r="O64" s="17" t="str">
        <f aca="false">IF(OR($D64="",$H64=0),"",$E64/$H64)</f>
        <v/>
      </c>
      <c r="P64" s="17" t="str">
        <f aca="false">IF(OR($D64="",$J64=0),"",($E64+$K64)/$J64)</f>
        <v/>
      </c>
      <c r="Q64" s="20"/>
    </row>
    <row r="65" customFormat="false" ht="15" hidden="false" customHeight="false" outlineLevel="0" collapsed="false">
      <c r="A65" s="13"/>
      <c r="B65" s="13"/>
      <c r="C65" s="13"/>
      <c r="D65" s="14"/>
      <c r="E65" s="15"/>
      <c r="F65" s="16"/>
      <c r="G65" s="16"/>
      <c r="H65" s="16"/>
      <c r="I65" s="16"/>
      <c r="J65" s="16"/>
      <c r="K65" s="15"/>
      <c r="L65" s="17" t="str">
        <f aca="false">IF(OR($D65="",$F65=0),"",$E65/$F65)</f>
        <v/>
      </c>
      <c r="M65" s="18" t="str">
        <f aca="false">IF(OR($D65="",$F65=0),"",$G65/$F65)</f>
        <v/>
      </c>
      <c r="N65" s="18" t="str">
        <f aca="false">IF(OR($D65="",$F65=0),"",$H65/$F65)</f>
        <v/>
      </c>
      <c r="O65" s="17" t="str">
        <f aca="false">IF(OR($D65="",$H65=0),"",$E65/$H65)</f>
        <v/>
      </c>
      <c r="P65" s="17" t="str">
        <f aca="false">IF(OR($D65="",$J65=0),"",($E65+$K65)/$J65)</f>
        <v/>
      </c>
      <c r="Q65" s="20"/>
    </row>
    <row r="66" customFormat="false" ht="15" hidden="false" customHeight="false" outlineLevel="0" collapsed="false">
      <c r="A66" s="13"/>
      <c r="B66" s="13"/>
      <c r="C66" s="13"/>
      <c r="D66" s="14"/>
      <c r="E66" s="15"/>
      <c r="F66" s="16"/>
      <c r="G66" s="16"/>
      <c r="H66" s="16"/>
      <c r="I66" s="16"/>
      <c r="J66" s="16"/>
      <c r="K66" s="15"/>
      <c r="L66" s="17" t="str">
        <f aca="false">IF(OR($D66="",$F66=0),"",$E66/$F66)</f>
        <v/>
      </c>
      <c r="M66" s="18" t="str">
        <f aca="false">IF(OR($D66="",$F66=0),"",$G66/$F66)</f>
        <v/>
      </c>
      <c r="N66" s="18" t="str">
        <f aca="false">IF(OR($D66="",$F66=0),"",$H66/$F66)</f>
        <v/>
      </c>
      <c r="O66" s="17" t="str">
        <f aca="false">IF(OR($D66="",$H66=0),"",$E66/$H66)</f>
        <v/>
      </c>
      <c r="P66" s="17" t="str">
        <f aca="false">IF(OR($D66="",$J66=0),"",($E66+$K66)/$J66)</f>
        <v/>
      </c>
      <c r="Q66" s="20"/>
    </row>
    <row r="67" customFormat="false" ht="15" hidden="false" customHeight="false" outlineLevel="0" collapsed="false">
      <c r="A67" s="13"/>
      <c r="B67" s="13"/>
      <c r="C67" s="13"/>
      <c r="D67" s="14"/>
      <c r="E67" s="15"/>
      <c r="F67" s="16"/>
      <c r="G67" s="16"/>
      <c r="H67" s="16"/>
      <c r="I67" s="16"/>
      <c r="J67" s="16"/>
      <c r="K67" s="15"/>
      <c r="L67" s="17" t="str">
        <f aca="false">IF(OR($D67="",$F67=0),"",$E67/$F67)</f>
        <v/>
      </c>
      <c r="M67" s="18" t="str">
        <f aca="false">IF(OR($D67="",$F67=0),"",$G67/$F67)</f>
        <v/>
      </c>
      <c r="N67" s="18" t="str">
        <f aca="false">IF(OR($D67="",$F67=0),"",$H67/$F67)</f>
        <v/>
      </c>
      <c r="O67" s="17" t="str">
        <f aca="false">IF(OR($D67="",$H67=0),"",$E67/$H67)</f>
        <v/>
      </c>
      <c r="P67" s="17" t="str">
        <f aca="false">IF(OR($D67="",$J67=0),"",($E67+$K67)/$J67)</f>
        <v/>
      </c>
      <c r="Q67" s="20"/>
    </row>
    <row r="68" customFormat="false" ht="15" hidden="false" customHeight="false" outlineLevel="0" collapsed="false">
      <c r="A68" s="13"/>
      <c r="B68" s="13"/>
      <c r="C68" s="13"/>
      <c r="D68" s="14"/>
      <c r="E68" s="15"/>
      <c r="F68" s="16"/>
      <c r="G68" s="16"/>
      <c r="H68" s="16"/>
      <c r="I68" s="16"/>
      <c r="J68" s="16"/>
      <c r="K68" s="15"/>
      <c r="L68" s="17" t="str">
        <f aca="false">IF(OR($D68="",$F68=0),"",$E68/$F68)</f>
        <v/>
      </c>
      <c r="M68" s="18" t="str">
        <f aca="false">IF(OR($D68="",$F68=0),"",$G68/$F68)</f>
        <v/>
      </c>
      <c r="N68" s="18" t="str">
        <f aca="false">IF(OR($D68="",$F68=0),"",$H68/$F68)</f>
        <v/>
      </c>
      <c r="O68" s="17" t="str">
        <f aca="false">IF(OR($D68="",$H68=0),"",$E68/$H68)</f>
        <v/>
      </c>
      <c r="P68" s="17" t="str">
        <f aca="false">IF(OR($D68="",$J68=0),"",($E68+$K68)/$J68)</f>
        <v/>
      </c>
      <c r="Q68" s="20"/>
    </row>
    <row r="69" customFormat="false" ht="15" hidden="false" customHeight="false" outlineLevel="0" collapsed="false">
      <c r="A69" s="13"/>
      <c r="B69" s="13"/>
      <c r="C69" s="13"/>
      <c r="D69" s="14"/>
      <c r="E69" s="15"/>
      <c r="F69" s="16"/>
      <c r="G69" s="16"/>
      <c r="H69" s="16"/>
      <c r="I69" s="16"/>
      <c r="J69" s="16"/>
      <c r="K69" s="15"/>
      <c r="L69" s="17" t="str">
        <f aca="false">IF(OR($D69="",$F69=0),"",$E69/$F69)</f>
        <v/>
      </c>
      <c r="M69" s="18" t="str">
        <f aca="false">IF(OR($D69="",$F69=0),"",$G69/$F69)</f>
        <v/>
      </c>
      <c r="N69" s="18" t="str">
        <f aca="false">IF(OR($D69="",$F69=0),"",$H69/$F69)</f>
        <v/>
      </c>
      <c r="O69" s="17" t="str">
        <f aca="false">IF(OR($D69="",$H69=0),"",$E69/$H69)</f>
        <v/>
      </c>
      <c r="P69" s="17" t="str">
        <f aca="false">IF(OR($D69="",$J69=0),"",($E69+$K69)/$J69)</f>
        <v/>
      </c>
      <c r="Q69" s="20"/>
    </row>
    <row r="70" customFormat="false" ht="15" hidden="false" customHeight="false" outlineLevel="0" collapsed="false">
      <c r="A70" s="13"/>
      <c r="B70" s="13"/>
      <c r="C70" s="13"/>
      <c r="D70" s="14"/>
      <c r="E70" s="15"/>
      <c r="F70" s="16"/>
      <c r="G70" s="16"/>
      <c r="H70" s="16"/>
      <c r="I70" s="16"/>
      <c r="J70" s="16"/>
      <c r="K70" s="15"/>
      <c r="L70" s="17" t="str">
        <f aca="false">IF(OR($D70="",$F70=0),"",$E70/$F70)</f>
        <v/>
      </c>
      <c r="M70" s="18" t="str">
        <f aca="false">IF(OR($D70="",$F70=0),"",$G70/$F70)</f>
        <v/>
      </c>
      <c r="N70" s="18" t="str">
        <f aca="false">IF(OR($D70="",$F70=0),"",$H70/$F70)</f>
        <v/>
      </c>
      <c r="O70" s="17" t="str">
        <f aca="false">IF(OR($D70="",$H70=0),"",$E70/$H70)</f>
        <v/>
      </c>
      <c r="P70" s="17" t="str">
        <f aca="false">IF(OR($D70="",$J70=0),"",($E70+$K70)/$J70)</f>
        <v/>
      </c>
      <c r="Q70" s="20"/>
    </row>
    <row r="71" customFormat="false" ht="15" hidden="false" customHeight="false" outlineLevel="0" collapsed="false">
      <c r="A71" s="13"/>
      <c r="B71" s="13"/>
      <c r="C71" s="13"/>
      <c r="D71" s="14"/>
      <c r="E71" s="15"/>
      <c r="F71" s="16"/>
      <c r="G71" s="16"/>
      <c r="H71" s="16"/>
      <c r="I71" s="16"/>
      <c r="J71" s="16"/>
      <c r="K71" s="15"/>
      <c r="L71" s="17" t="str">
        <f aca="false">IF(OR($D71="",$F71=0),"",$E71/$F71)</f>
        <v/>
      </c>
      <c r="M71" s="18" t="str">
        <f aca="false">IF(OR($D71="",$F71=0),"",$G71/$F71)</f>
        <v/>
      </c>
      <c r="N71" s="18" t="str">
        <f aca="false">IF(OR($D71="",$F71=0),"",$H71/$F71)</f>
        <v/>
      </c>
      <c r="O71" s="17" t="str">
        <f aca="false">IF(OR($D71="",$H71=0),"",$E71/$H71)</f>
        <v/>
      </c>
      <c r="P71" s="17" t="str">
        <f aca="false">IF(OR($D71="",$J71=0),"",($E71+$K71)/$J71)</f>
        <v/>
      </c>
      <c r="Q71" s="20"/>
    </row>
    <row r="72" customFormat="false" ht="15" hidden="false" customHeight="false" outlineLevel="0" collapsed="false">
      <c r="A72" s="13"/>
      <c r="B72" s="13"/>
      <c r="C72" s="13"/>
      <c r="D72" s="14"/>
      <c r="E72" s="15"/>
      <c r="F72" s="16"/>
      <c r="G72" s="16"/>
      <c r="H72" s="16"/>
      <c r="I72" s="16"/>
      <c r="J72" s="16"/>
      <c r="K72" s="15"/>
      <c r="L72" s="17" t="str">
        <f aca="false">IF(OR($D72="",$F72=0),"",$E72/$F72)</f>
        <v/>
      </c>
      <c r="M72" s="18" t="str">
        <f aca="false">IF(OR($D72="",$F72=0),"",$G72/$F72)</f>
        <v/>
      </c>
      <c r="N72" s="18" t="str">
        <f aca="false">IF(OR($D72="",$F72=0),"",$H72/$F72)</f>
        <v/>
      </c>
      <c r="O72" s="17" t="str">
        <f aca="false">IF(OR($D72="",$H72=0),"",$E72/$H72)</f>
        <v/>
      </c>
      <c r="P72" s="17" t="str">
        <f aca="false">IF(OR($D72="",$J72=0),"",($E72+$K72)/$J72)</f>
        <v/>
      </c>
      <c r="Q72" s="20"/>
    </row>
    <row r="73" customFormat="false" ht="15" hidden="false" customHeight="false" outlineLevel="0" collapsed="false">
      <c r="A73" s="13"/>
      <c r="B73" s="13"/>
      <c r="C73" s="13"/>
      <c r="D73" s="14"/>
      <c r="E73" s="15"/>
      <c r="F73" s="16"/>
      <c r="G73" s="16"/>
      <c r="H73" s="16"/>
      <c r="I73" s="16"/>
      <c r="J73" s="16"/>
      <c r="K73" s="15"/>
      <c r="L73" s="17" t="str">
        <f aca="false">IF(OR($D73="",$F73=0),"",$E73/$F73)</f>
        <v/>
      </c>
      <c r="M73" s="18" t="str">
        <f aca="false">IF(OR($D73="",$F73=0),"",$G73/$F73)</f>
        <v/>
      </c>
      <c r="N73" s="18" t="str">
        <f aca="false">IF(OR($D73="",$F73=0),"",$H73/$F73)</f>
        <v/>
      </c>
      <c r="O73" s="17" t="str">
        <f aca="false">IF(OR($D73="",$H73=0),"",$E73/$H73)</f>
        <v/>
      </c>
      <c r="P73" s="17" t="str">
        <f aca="false">IF(OR($D73="",$J73=0),"",($E73+$K73)/$J73)</f>
        <v/>
      </c>
      <c r="Q73" s="20"/>
    </row>
    <row r="74" customFormat="false" ht="15" hidden="false" customHeight="false" outlineLevel="0" collapsed="false">
      <c r="A74" s="13"/>
      <c r="B74" s="13"/>
      <c r="C74" s="13"/>
      <c r="D74" s="14"/>
      <c r="E74" s="15"/>
      <c r="F74" s="16"/>
      <c r="G74" s="16"/>
      <c r="H74" s="16"/>
      <c r="I74" s="16"/>
      <c r="J74" s="16"/>
      <c r="K74" s="15"/>
      <c r="L74" s="17" t="str">
        <f aca="false">IF(OR($D74="",$F74=0),"",$E74/$F74)</f>
        <v/>
      </c>
      <c r="M74" s="18" t="str">
        <f aca="false">IF(OR($D74="",$F74=0),"",$G74/$F74)</f>
        <v/>
      </c>
      <c r="N74" s="18" t="str">
        <f aca="false">IF(OR($D74="",$F74=0),"",$H74/$F74)</f>
        <v/>
      </c>
      <c r="O74" s="17" t="str">
        <f aca="false">IF(OR($D74="",$H74=0),"",$E74/$H74)</f>
        <v/>
      </c>
      <c r="P74" s="17" t="str">
        <f aca="false">IF(OR($D74="",$J74=0),"",($E74+$K74)/$J74)</f>
        <v/>
      </c>
      <c r="Q74" s="20"/>
    </row>
    <row r="75" customFormat="false" ht="15" hidden="false" customHeight="false" outlineLevel="0" collapsed="false">
      <c r="A75" s="13"/>
      <c r="B75" s="13"/>
      <c r="C75" s="13"/>
      <c r="D75" s="14"/>
      <c r="E75" s="15"/>
      <c r="F75" s="16"/>
      <c r="G75" s="16"/>
      <c r="H75" s="16"/>
      <c r="I75" s="16"/>
      <c r="J75" s="16"/>
      <c r="K75" s="15"/>
      <c r="L75" s="17" t="str">
        <f aca="false">IF(OR($D75="",$F75=0),"",$E75/$F75)</f>
        <v/>
      </c>
      <c r="M75" s="18" t="str">
        <f aca="false">IF(OR($D75="",$F75=0),"",$G75/$F75)</f>
        <v/>
      </c>
      <c r="N75" s="18" t="str">
        <f aca="false">IF(OR($D75="",$F75=0),"",$H75/$F75)</f>
        <v/>
      </c>
      <c r="O75" s="17" t="str">
        <f aca="false">IF(OR($D75="",$H75=0),"",$E75/$H75)</f>
        <v/>
      </c>
      <c r="P75" s="17" t="str">
        <f aca="false">IF(OR($D75="",$J75=0),"",($E75+$K75)/$J75)</f>
        <v/>
      </c>
      <c r="Q75" s="20"/>
    </row>
    <row r="76" customFormat="false" ht="15" hidden="false" customHeight="false" outlineLevel="0" collapsed="false">
      <c r="A76" s="13"/>
      <c r="B76" s="13"/>
      <c r="C76" s="13"/>
      <c r="D76" s="14"/>
      <c r="E76" s="15"/>
      <c r="F76" s="16"/>
      <c r="G76" s="16"/>
      <c r="H76" s="16"/>
      <c r="I76" s="16"/>
      <c r="J76" s="16"/>
      <c r="K76" s="15"/>
      <c r="L76" s="17" t="str">
        <f aca="false">IF(OR($D76="",$F76=0),"",$E76/$F76)</f>
        <v/>
      </c>
      <c r="M76" s="18" t="str">
        <f aca="false">IF(OR($D76="",$F76=0),"",$G76/$F76)</f>
        <v/>
      </c>
      <c r="N76" s="18" t="str">
        <f aca="false">IF(OR($D76="",$F76=0),"",$H76/$F76)</f>
        <v/>
      </c>
      <c r="O76" s="17" t="str">
        <f aca="false">IF(OR($D76="",$H76=0),"",$E76/$H76)</f>
        <v/>
      </c>
      <c r="P76" s="17" t="str">
        <f aca="false">IF(OR($D76="",$J76=0),"",($E76+$K76)/$J76)</f>
        <v/>
      </c>
      <c r="Q76" s="20"/>
    </row>
    <row r="77" customFormat="false" ht="15" hidden="false" customHeight="false" outlineLevel="0" collapsed="false">
      <c r="A77" s="13"/>
      <c r="B77" s="13"/>
      <c r="C77" s="13"/>
      <c r="D77" s="14"/>
      <c r="E77" s="15"/>
      <c r="F77" s="16"/>
      <c r="G77" s="16"/>
      <c r="H77" s="16"/>
      <c r="I77" s="16"/>
      <c r="J77" s="16"/>
      <c r="K77" s="15"/>
      <c r="L77" s="17" t="str">
        <f aca="false">IF(OR($D77="",$F77=0),"",$E77/$F77)</f>
        <v/>
      </c>
      <c r="M77" s="18" t="str">
        <f aca="false">IF(OR($D77="",$F77=0),"",$G77/$F77)</f>
        <v/>
      </c>
      <c r="N77" s="18" t="str">
        <f aca="false">IF(OR($D77="",$F77=0),"",$H77/$F77)</f>
        <v/>
      </c>
      <c r="O77" s="17" t="str">
        <f aca="false">IF(OR($D77="",$H77=0),"",$E77/$H77)</f>
        <v/>
      </c>
      <c r="P77" s="17" t="str">
        <f aca="false">IF(OR($D77="",$J77=0),"",($E77+$K77)/$J77)</f>
        <v/>
      </c>
      <c r="Q77" s="20"/>
    </row>
    <row r="78" customFormat="false" ht="15" hidden="false" customHeight="false" outlineLevel="0" collapsed="false">
      <c r="A78" s="13"/>
      <c r="B78" s="13"/>
      <c r="C78" s="13"/>
      <c r="D78" s="14"/>
      <c r="E78" s="15"/>
      <c r="F78" s="16"/>
      <c r="G78" s="16"/>
      <c r="H78" s="16"/>
      <c r="I78" s="16"/>
      <c r="J78" s="16"/>
      <c r="K78" s="15"/>
      <c r="L78" s="17" t="str">
        <f aca="false">IF(OR($D78="",$F78=0),"",$E78/$F78)</f>
        <v/>
      </c>
      <c r="M78" s="18" t="str">
        <f aca="false">IF(OR($D78="",$F78=0),"",$G78/$F78)</f>
        <v/>
      </c>
      <c r="N78" s="18" t="str">
        <f aca="false">IF(OR($D78="",$F78=0),"",$H78/$F78)</f>
        <v/>
      </c>
      <c r="O78" s="17" t="str">
        <f aca="false">IF(OR($D78="",$H78=0),"",$E78/$H78)</f>
        <v/>
      </c>
      <c r="P78" s="17" t="str">
        <f aca="false">IF(OR($D78="",$J78=0),"",($E78+$K78)/$J78)</f>
        <v/>
      </c>
      <c r="Q78" s="20"/>
    </row>
    <row r="79" customFormat="false" ht="15" hidden="false" customHeight="false" outlineLevel="0" collapsed="false">
      <c r="A79" s="13"/>
      <c r="B79" s="13"/>
      <c r="C79" s="13"/>
      <c r="D79" s="14"/>
      <c r="E79" s="15"/>
      <c r="F79" s="16"/>
      <c r="G79" s="16"/>
      <c r="H79" s="16"/>
      <c r="I79" s="16"/>
      <c r="J79" s="16"/>
      <c r="K79" s="15"/>
      <c r="L79" s="17" t="str">
        <f aca="false">IF(OR($D79="",$F79=0),"",$E79/$F79)</f>
        <v/>
      </c>
      <c r="M79" s="18" t="str">
        <f aca="false">IF(OR($D79="",$F79=0),"",$G79/$F79)</f>
        <v/>
      </c>
      <c r="N79" s="18" t="str">
        <f aca="false">IF(OR($D79="",$F79=0),"",$H79/$F79)</f>
        <v/>
      </c>
      <c r="O79" s="17" t="str">
        <f aca="false">IF(OR($D79="",$H79=0),"",$E79/$H79)</f>
        <v/>
      </c>
      <c r="P79" s="17" t="str">
        <f aca="false">IF(OR($D79="",$J79=0),"",($E79+$K79)/$J79)</f>
        <v/>
      </c>
      <c r="Q79" s="20"/>
    </row>
    <row r="80" customFormat="false" ht="15" hidden="false" customHeight="false" outlineLevel="0" collapsed="false">
      <c r="A80" s="13"/>
      <c r="B80" s="13"/>
      <c r="C80" s="13"/>
      <c r="D80" s="14"/>
      <c r="E80" s="15"/>
      <c r="F80" s="16"/>
      <c r="G80" s="16"/>
      <c r="H80" s="16"/>
      <c r="I80" s="16"/>
      <c r="J80" s="16"/>
      <c r="K80" s="15"/>
      <c r="L80" s="17" t="str">
        <f aca="false">IF(OR($D80="",$F80=0),"",$E80/$F80)</f>
        <v/>
      </c>
      <c r="M80" s="18" t="str">
        <f aca="false">IF(OR($D80="",$F80=0),"",$G80/$F80)</f>
        <v/>
      </c>
      <c r="N80" s="18" t="str">
        <f aca="false">IF(OR($D80="",$F80=0),"",$H80/$F80)</f>
        <v/>
      </c>
      <c r="O80" s="17" t="str">
        <f aca="false">IF(OR($D80="",$H80=0),"",$E80/$H80)</f>
        <v/>
      </c>
      <c r="P80" s="17" t="str">
        <f aca="false">IF(OR($D80="",$J80=0),"",($E80+$K80)/$J80)</f>
        <v/>
      </c>
      <c r="Q80" s="20"/>
    </row>
    <row r="81" customFormat="false" ht="15" hidden="false" customHeight="false" outlineLevel="0" collapsed="false">
      <c r="A81" s="13"/>
      <c r="B81" s="13"/>
      <c r="C81" s="13"/>
      <c r="D81" s="14"/>
      <c r="E81" s="15"/>
      <c r="F81" s="16"/>
      <c r="G81" s="16"/>
      <c r="H81" s="16"/>
      <c r="I81" s="16"/>
      <c r="J81" s="16"/>
      <c r="K81" s="15"/>
      <c r="L81" s="17" t="str">
        <f aca="false">IF(OR($D81="",$F81=0),"",$E81/$F81)</f>
        <v/>
      </c>
      <c r="M81" s="18" t="str">
        <f aca="false">IF(OR($D81="",$F81=0),"",$G81/$F81)</f>
        <v/>
      </c>
      <c r="N81" s="18" t="str">
        <f aca="false">IF(OR($D81="",$F81=0),"",$H81/$F81)</f>
        <v/>
      </c>
      <c r="O81" s="17" t="str">
        <f aca="false">IF(OR($D81="",$H81=0),"",$E81/$H81)</f>
        <v/>
      </c>
      <c r="P81" s="17" t="str">
        <f aca="false">IF(OR($D81="",$J81=0),"",($E81+$K81)/$J81)</f>
        <v/>
      </c>
      <c r="Q81" s="20"/>
    </row>
    <row r="82" customFormat="false" ht="15" hidden="false" customHeight="false" outlineLevel="0" collapsed="false">
      <c r="A82" s="13"/>
      <c r="B82" s="13"/>
      <c r="C82" s="13"/>
      <c r="D82" s="14"/>
      <c r="E82" s="15"/>
      <c r="F82" s="16"/>
      <c r="G82" s="16"/>
      <c r="H82" s="16"/>
      <c r="I82" s="16"/>
      <c r="J82" s="16"/>
      <c r="K82" s="15"/>
      <c r="L82" s="17" t="str">
        <f aca="false">IF(OR($D82="",$F82=0),"",$E82/$F82)</f>
        <v/>
      </c>
      <c r="M82" s="18" t="str">
        <f aca="false">IF(OR($D82="",$F82=0),"",$G82/$F82)</f>
        <v/>
      </c>
      <c r="N82" s="18" t="str">
        <f aca="false">IF(OR($D82="",$F82=0),"",$H82/$F82)</f>
        <v/>
      </c>
      <c r="O82" s="17" t="str">
        <f aca="false">IF(OR($D82="",$H82=0),"",$E82/$H82)</f>
        <v/>
      </c>
      <c r="P82" s="17" t="str">
        <f aca="false">IF(OR($D82="",$J82=0),"",($E82+$K82)/$J82)</f>
        <v/>
      </c>
      <c r="Q82" s="20"/>
    </row>
    <row r="83" customFormat="false" ht="15" hidden="false" customHeight="false" outlineLevel="0" collapsed="false">
      <c r="A83" s="13"/>
      <c r="B83" s="13"/>
      <c r="C83" s="13"/>
      <c r="D83" s="14"/>
      <c r="E83" s="15"/>
      <c r="F83" s="16"/>
      <c r="G83" s="16"/>
      <c r="H83" s="16"/>
      <c r="I83" s="16"/>
      <c r="J83" s="16"/>
      <c r="K83" s="15"/>
      <c r="L83" s="17" t="str">
        <f aca="false">IF(OR($D83="",$F83=0),"",$E83/$F83)</f>
        <v/>
      </c>
      <c r="M83" s="18" t="str">
        <f aca="false">IF(OR($D83="",$F83=0),"",$G83/$F83)</f>
        <v/>
      </c>
      <c r="N83" s="18" t="str">
        <f aca="false">IF(OR($D83="",$F83=0),"",$H83/$F83)</f>
        <v/>
      </c>
      <c r="O83" s="17" t="str">
        <f aca="false">IF(OR($D83="",$H83=0),"",$E83/$H83)</f>
        <v/>
      </c>
      <c r="P83" s="17" t="str">
        <f aca="false">IF(OR($D83="",$J83=0),"",($E83+$K83)/$J83)</f>
        <v/>
      </c>
      <c r="Q83" s="20"/>
    </row>
    <row r="84" customFormat="false" ht="15" hidden="false" customHeight="false" outlineLevel="0" collapsed="false">
      <c r="A84" s="13"/>
      <c r="B84" s="13"/>
      <c r="C84" s="13"/>
      <c r="D84" s="14"/>
      <c r="E84" s="15"/>
      <c r="F84" s="16"/>
      <c r="G84" s="16"/>
      <c r="H84" s="16"/>
      <c r="I84" s="16"/>
      <c r="J84" s="16"/>
      <c r="K84" s="15"/>
      <c r="L84" s="17" t="str">
        <f aca="false">IF(OR($D84="",$F84=0),"",$E84/$F84)</f>
        <v/>
      </c>
      <c r="M84" s="18" t="str">
        <f aca="false">IF(OR($D84="",$F84=0),"",$G84/$F84)</f>
        <v/>
      </c>
      <c r="N84" s="18" t="str">
        <f aca="false">IF(OR($D84="",$F84=0),"",$H84/$F84)</f>
        <v/>
      </c>
      <c r="O84" s="17" t="str">
        <f aca="false">IF(OR($D84="",$H84=0),"",$E84/$H84)</f>
        <v/>
      </c>
      <c r="P84" s="17" t="str">
        <f aca="false">IF(OR($D84="",$J84=0),"",($E84+$K84)/$J84)</f>
        <v/>
      </c>
      <c r="Q84" s="20"/>
    </row>
    <row r="85" customFormat="false" ht="15" hidden="false" customHeight="false" outlineLevel="0" collapsed="false">
      <c r="A85" s="13"/>
      <c r="B85" s="13"/>
      <c r="C85" s="13"/>
      <c r="D85" s="14"/>
      <c r="E85" s="15"/>
      <c r="F85" s="16"/>
      <c r="G85" s="16"/>
      <c r="H85" s="16"/>
      <c r="I85" s="16"/>
      <c r="J85" s="16"/>
      <c r="K85" s="15"/>
      <c r="L85" s="17" t="str">
        <f aca="false">IF(OR($D85="",$F85=0),"",$E85/$F85)</f>
        <v/>
      </c>
      <c r="M85" s="18" t="str">
        <f aca="false">IF(OR($D85="",$F85=0),"",$G85/$F85)</f>
        <v/>
      </c>
      <c r="N85" s="18" t="str">
        <f aca="false">IF(OR($D85="",$F85=0),"",$H85/$F85)</f>
        <v/>
      </c>
      <c r="O85" s="17" t="str">
        <f aca="false">IF(OR($D85="",$H85=0),"",$E85/$H85)</f>
        <v/>
      </c>
      <c r="P85" s="17" t="str">
        <f aca="false">IF(OR($D85="",$J85=0),"",($E85+$K85)/$J85)</f>
        <v/>
      </c>
      <c r="Q85" s="20"/>
    </row>
    <row r="86" customFormat="false" ht="15" hidden="false" customHeight="false" outlineLevel="0" collapsed="false">
      <c r="A86" s="13"/>
      <c r="B86" s="13"/>
      <c r="C86" s="13"/>
      <c r="D86" s="14"/>
      <c r="E86" s="15"/>
      <c r="F86" s="16"/>
      <c r="G86" s="16"/>
      <c r="H86" s="16"/>
      <c r="I86" s="16"/>
      <c r="J86" s="16"/>
      <c r="K86" s="15"/>
      <c r="L86" s="17" t="str">
        <f aca="false">IF(OR($D86="",$F86=0),"",$E86/$F86)</f>
        <v/>
      </c>
      <c r="M86" s="18" t="str">
        <f aca="false">IF(OR($D86="",$F86=0),"",$G86/$F86)</f>
        <v/>
      </c>
      <c r="N86" s="18" t="str">
        <f aca="false">IF(OR($D86="",$F86=0),"",$H86/$F86)</f>
        <v/>
      </c>
      <c r="O86" s="17" t="str">
        <f aca="false">IF(OR($D86="",$H86=0),"",$E86/$H86)</f>
        <v/>
      </c>
      <c r="P86" s="17" t="str">
        <f aca="false">IF(OR($D86="",$J86=0),"",($E86+$K86)/$J86)</f>
        <v/>
      </c>
      <c r="Q86" s="20"/>
    </row>
    <row r="87" customFormat="false" ht="15" hidden="false" customHeight="false" outlineLevel="0" collapsed="false">
      <c r="A87" s="13"/>
      <c r="B87" s="13"/>
      <c r="C87" s="13"/>
      <c r="D87" s="14"/>
      <c r="E87" s="15"/>
      <c r="F87" s="16"/>
      <c r="G87" s="16"/>
      <c r="H87" s="16"/>
      <c r="I87" s="16"/>
      <c r="J87" s="16"/>
      <c r="K87" s="15"/>
      <c r="L87" s="17" t="str">
        <f aca="false">IF(OR($D87="",$F87=0),"",$E87/$F87)</f>
        <v/>
      </c>
      <c r="M87" s="18" t="str">
        <f aca="false">IF(OR($D87="",$F87=0),"",$G87/$F87)</f>
        <v/>
      </c>
      <c r="N87" s="18" t="str">
        <f aca="false">IF(OR($D87="",$F87=0),"",$H87/$F87)</f>
        <v/>
      </c>
      <c r="O87" s="17" t="str">
        <f aca="false">IF(OR($D87="",$H87=0),"",$E87/$H87)</f>
        <v/>
      </c>
      <c r="P87" s="17" t="str">
        <f aca="false">IF(OR($D87="",$J87=0),"",($E87+$K87)/$J87)</f>
        <v/>
      </c>
      <c r="Q87" s="20"/>
    </row>
    <row r="88" customFormat="false" ht="15" hidden="false" customHeight="false" outlineLevel="0" collapsed="false">
      <c r="A88" s="13"/>
      <c r="B88" s="13"/>
      <c r="C88" s="13"/>
      <c r="D88" s="14"/>
      <c r="E88" s="15"/>
      <c r="F88" s="16"/>
      <c r="G88" s="16"/>
      <c r="H88" s="16"/>
      <c r="I88" s="16"/>
      <c r="J88" s="16"/>
      <c r="K88" s="15"/>
      <c r="L88" s="17" t="str">
        <f aca="false">IF(OR($D88="",$F88=0),"",$E88/$F88)</f>
        <v/>
      </c>
      <c r="M88" s="18" t="str">
        <f aca="false">IF(OR($D88="",$F88=0),"",$G88/$F88)</f>
        <v/>
      </c>
      <c r="N88" s="18" t="str">
        <f aca="false">IF(OR($D88="",$F88=0),"",$H88/$F88)</f>
        <v/>
      </c>
      <c r="O88" s="17" t="str">
        <f aca="false">IF(OR($D88="",$H88=0),"",$E88/$H88)</f>
        <v/>
      </c>
      <c r="P88" s="17" t="str">
        <f aca="false">IF(OR($D88="",$J88=0),"",($E88+$K88)/$J88)</f>
        <v/>
      </c>
      <c r="Q88" s="20"/>
    </row>
    <row r="89" customFormat="false" ht="15" hidden="false" customHeight="false" outlineLevel="0" collapsed="false">
      <c r="A89" s="13"/>
      <c r="B89" s="13"/>
      <c r="C89" s="13"/>
      <c r="D89" s="14"/>
      <c r="E89" s="15"/>
      <c r="F89" s="16"/>
      <c r="G89" s="16"/>
      <c r="H89" s="16"/>
      <c r="I89" s="16"/>
      <c r="J89" s="16"/>
      <c r="K89" s="15"/>
      <c r="L89" s="17" t="str">
        <f aca="false">IF(OR($D89="",$F89=0),"",$E89/$F89)</f>
        <v/>
      </c>
      <c r="M89" s="18" t="str">
        <f aca="false">IF(OR($D89="",$F89=0),"",$G89/$F89)</f>
        <v/>
      </c>
      <c r="N89" s="18" t="str">
        <f aca="false">IF(OR($D89="",$F89=0),"",$H89/$F89)</f>
        <v/>
      </c>
      <c r="O89" s="17" t="str">
        <f aca="false">IF(OR($D89="",$H89=0),"",$E89/$H89)</f>
        <v/>
      </c>
      <c r="P89" s="17" t="str">
        <f aca="false">IF(OR($D89="",$J89=0),"",($E89+$K89)/$J89)</f>
        <v/>
      </c>
      <c r="Q89" s="20"/>
    </row>
    <row r="90" customFormat="false" ht="15" hidden="false" customHeight="false" outlineLevel="0" collapsed="false">
      <c r="A90" s="13"/>
      <c r="B90" s="13"/>
      <c r="C90" s="13"/>
      <c r="D90" s="14"/>
      <c r="E90" s="15"/>
      <c r="F90" s="16"/>
      <c r="G90" s="16"/>
      <c r="H90" s="16"/>
      <c r="I90" s="16"/>
      <c r="J90" s="16"/>
      <c r="K90" s="15"/>
      <c r="L90" s="17" t="str">
        <f aca="false">IF(OR($D90="",$F90=0),"",$E90/$F90)</f>
        <v/>
      </c>
      <c r="M90" s="18" t="str">
        <f aca="false">IF(OR($D90="",$F90=0),"",$G90/$F90)</f>
        <v/>
      </c>
      <c r="N90" s="18" t="str">
        <f aca="false">IF(OR($D90="",$F90=0),"",$H90/$F90)</f>
        <v/>
      </c>
      <c r="O90" s="17" t="str">
        <f aca="false">IF(OR($D90="",$H90=0),"",$E90/$H90)</f>
        <v/>
      </c>
      <c r="P90" s="17" t="str">
        <f aca="false">IF(OR($D90="",$J90=0),"",($E90+$K90)/$J90)</f>
        <v/>
      </c>
      <c r="Q90" s="20"/>
    </row>
    <row r="91" customFormat="false" ht="15" hidden="false" customHeight="false" outlineLevel="0" collapsed="false">
      <c r="A91" s="13"/>
      <c r="B91" s="13"/>
      <c r="C91" s="13"/>
      <c r="D91" s="14"/>
      <c r="E91" s="15"/>
      <c r="F91" s="16"/>
      <c r="G91" s="16"/>
      <c r="H91" s="16"/>
      <c r="I91" s="16"/>
      <c r="J91" s="16"/>
      <c r="K91" s="15"/>
      <c r="L91" s="17" t="str">
        <f aca="false">IF(OR($D91="",$F91=0),"",$E91/$F91)</f>
        <v/>
      </c>
      <c r="M91" s="18" t="str">
        <f aca="false">IF(OR($D91="",$F91=0),"",$G91/$F91)</f>
        <v/>
      </c>
      <c r="N91" s="18" t="str">
        <f aca="false">IF(OR($D91="",$F91=0),"",$H91/$F91)</f>
        <v/>
      </c>
      <c r="O91" s="17" t="str">
        <f aca="false">IF(OR($D91="",$H91=0),"",$E91/$H91)</f>
        <v/>
      </c>
      <c r="P91" s="17" t="str">
        <f aca="false">IF(OR($D91="",$J91=0),"",($E91+$K91)/$J91)</f>
        <v/>
      </c>
      <c r="Q91" s="20"/>
    </row>
    <row r="92" customFormat="false" ht="15" hidden="false" customHeight="false" outlineLevel="0" collapsed="false">
      <c r="A92" s="13"/>
      <c r="B92" s="13"/>
      <c r="C92" s="13"/>
      <c r="D92" s="14"/>
      <c r="E92" s="15"/>
      <c r="F92" s="16"/>
      <c r="G92" s="16"/>
      <c r="H92" s="16"/>
      <c r="I92" s="16"/>
      <c r="J92" s="16"/>
      <c r="K92" s="15"/>
      <c r="L92" s="17" t="str">
        <f aca="false">IF(OR($D92="",$F92=0),"",$E92/$F92)</f>
        <v/>
      </c>
      <c r="M92" s="18" t="str">
        <f aca="false">IF(OR($D92="",$F92=0),"",$G92/$F92)</f>
        <v/>
      </c>
      <c r="N92" s="18" t="str">
        <f aca="false">IF(OR($D92="",$F92=0),"",$H92/$F92)</f>
        <v/>
      </c>
      <c r="O92" s="17" t="str">
        <f aca="false">IF(OR($D92="",$H92=0),"",$E92/$H92)</f>
        <v/>
      </c>
      <c r="P92" s="17" t="str">
        <f aca="false">IF(OR($D92="",$J92=0),"",($E92+$K92)/$J92)</f>
        <v/>
      </c>
      <c r="Q92" s="20"/>
    </row>
    <row r="93" customFormat="false" ht="15" hidden="false" customHeight="false" outlineLevel="0" collapsed="false">
      <c r="A93" s="13"/>
      <c r="B93" s="13"/>
      <c r="C93" s="13"/>
      <c r="D93" s="14"/>
      <c r="E93" s="15"/>
      <c r="F93" s="16"/>
      <c r="G93" s="16"/>
      <c r="H93" s="16"/>
      <c r="I93" s="16"/>
      <c r="J93" s="16"/>
      <c r="K93" s="15"/>
      <c r="L93" s="17" t="str">
        <f aca="false">IF(OR($D93="",$F93=0),"",$E93/$F93)</f>
        <v/>
      </c>
      <c r="M93" s="18" t="str">
        <f aca="false">IF(OR($D93="",$F93=0),"",$G93/$F93)</f>
        <v/>
      </c>
      <c r="N93" s="18" t="str">
        <f aca="false">IF(OR($D93="",$F93=0),"",$H93/$F93)</f>
        <v/>
      </c>
      <c r="O93" s="17" t="str">
        <f aca="false">IF(OR($D93="",$H93=0),"",$E93/$H93)</f>
        <v/>
      </c>
      <c r="P93" s="17" t="str">
        <f aca="false">IF(OR($D93="",$J93=0),"",($E93+$K93)/$J93)</f>
        <v/>
      </c>
      <c r="Q93" s="20"/>
    </row>
    <row r="94" customFormat="false" ht="15" hidden="false" customHeight="false" outlineLevel="0" collapsed="false">
      <c r="A94" s="13"/>
      <c r="B94" s="13"/>
      <c r="C94" s="13"/>
      <c r="D94" s="14"/>
      <c r="E94" s="15"/>
      <c r="F94" s="16"/>
      <c r="G94" s="16"/>
      <c r="H94" s="16"/>
      <c r="I94" s="16"/>
      <c r="J94" s="16"/>
      <c r="K94" s="15"/>
      <c r="L94" s="17" t="str">
        <f aca="false">IF(OR($D94="",$F94=0),"",$E94/$F94)</f>
        <v/>
      </c>
      <c r="M94" s="18" t="str">
        <f aca="false">IF(OR($D94="",$F94=0),"",$G94/$F94)</f>
        <v/>
      </c>
      <c r="N94" s="18" t="str">
        <f aca="false">IF(OR($D94="",$F94=0),"",$H94/$F94)</f>
        <v/>
      </c>
      <c r="O94" s="17" t="str">
        <f aca="false">IF(OR($D94="",$H94=0),"",$E94/$H94)</f>
        <v/>
      </c>
      <c r="P94" s="17" t="str">
        <f aca="false">IF(OR($D94="",$J94=0),"",($E94+$K94)/$J94)</f>
        <v/>
      </c>
      <c r="Q94" s="20"/>
    </row>
    <row r="95" customFormat="false" ht="15" hidden="false" customHeight="false" outlineLevel="0" collapsed="false">
      <c r="A95" s="13"/>
      <c r="B95" s="13"/>
      <c r="C95" s="13"/>
      <c r="D95" s="14"/>
      <c r="E95" s="15"/>
      <c r="F95" s="16"/>
      <c r="G95" s="16"/>
      <c r="H95" s="16"/>
      <c r="I95" s="16"/>
      <c r="J95" s="16"/>
      <c r="K95" s="15"/>
      <c r="L95" s="17" t="str">
        <f aca="false">IF(OR($D95="",$F95=0),"",$E95/$F95)</f>
        <v/>
      </c>
      <c r="M95" s="18" t="str">
        <f aca="false">IF(OR($D95="",$F95=0),"",$G95/$F95)</f>
        <v/>
      </c>
      <c r="N95" s="18" t="str">
        <f aca="false">IF(OR($D95="",$F95=0),"",$H95/$F95)</f>
        <v/>
      </c>
      <c r="O95" s="17" t="str">
        <f aca="false">IF(OR($D95="",$H95=0),"",$E95/$H95)</f>
        <v/>
      </c>
      <c r="P95" s="17" t="str">
        <f aca="false">IF(OR($D95="",$J95=0),"",($E95+$K95)/$J95)</f>
        <v/>
      </c>
      <c r="Q95" s="20"/>
    </row>
    <row r="96" customFormat="false" ht="15" hidden="false" customHeight="false" outlineLevel="0" collapsed="false">
      <c r="A96" s="13"/>
      <c r="B96" s="13"/>
      <c r="C96" s="13"/>
      <c r="D96" s="14"/>
      <c r="E96" s="15"/>
      <c r="F96" s="16"/>
      <c r="G96" s="16"/>
      <c r="H96" s="16"/>
      <c r="I96" s="16"/>
      <c r="J96" s="16"/>
      <c r="K96" s="15"/>
      <c r="L96" s="17" t="str">
        <f aca="false">IF(OR($D96="",$F96=0),"",$E96/$F96)</f>
        <v/>
      </c>
      <c r="M96" s="18" t="str">
        <f aca="false">IF(OR($D96="",$F96=0),"",$G96/$F96)</f>
        <v/>
      </c>
      <c r="N96" s="18" t="str">
        <f aca="false">IF(OR($D96="",$F96=0),"",$H96/$F96)</f>
        <v/>
      </c>
      <c r="O96" s="17" t="str">
        <f aca="false">IF(OR($D96="",$H96=0),"",$E96/$H96)</f>
        <v/>
      </c>
      <c r="P96" s="17" t="str">
        <f aca="false">IF(OR($D96="",$J96=0),"",($E96+$K96)/$J96)</f>
        <v/>
      </c>
      <c r="Q96" s="20"/>
    </row>
    <row r="97" customFormat="false" ht="15" hidden="false" customHeight="false" outlineLevel="0" collapsed="false">
      <c r="A97" s="13"/>
      <c r="B97" s="13"/>
      <c r="C97" s="13"/>
      <c r="D97" s="14"/>
      <c r="E97" s="15"/>
      <c r="F97" s="16"/>
      <c r="G97" s="16"/>
      <c r="H97" s="16"/>
      <c r="I97" s="16"/>
      <c r="J97" s="16"/>
      <c r="K97" s="15"/>
      <c r="L97" s="17" t="str">
        <f aca="false">IF(OR($D97="",$F97=0),"",$E97/$F97)</f>
        <v/>
      </c>
      <c r="M97" s="18" t="str">
        <f aca="false">IF(OR($D97="",$F97=0),"",$G97/$F97)</f>
        <v/>
      </c>
      <c r="N97" s="18" t="str">
        <f aca="false">IF(OR($D97="",$F97=0),"",$H97/$F97)</f>
        <v/>
      </c>
      <c r="O97" s="17" t="str">
        <f aca="false">IF(OR($D97="",$H97=0),"",$E97/$H97)</f>
        <v/>
      </c>
      <c r="P97" s="17" t="str">
        <f aca="false">IF(OR($D97="",$J97=0),"",($E97+$K97)/$J97)</f>
        <v/>
      </c>
      <c r="Q97" s="20"/>
    </row>
    <row r="98" customFormat="false" ht="15" hidden="false" customHeight="false" outlineLevel="0" collapsed="false">
      <c r="A98" s="13"/>
      <c r="B98" s="13"/>
      <c r="C98" s="13"/>
      <c r="D98" s="14"/>
      <c r="E98" s="15"/>
      <c r="F98" s="16"/>
      <c r="G98" s="16"/>
      <c r="H98" s="16"/>
      <c r="I98" s="16"/>
      <c r="J98" s="16"/>
      <c r="K98" s="15"/>
      <c r="L98" s="17" t="str">
        <f aca="false">IF(OR($D98="",$F98=0),"",$E98/$F98)</f>
        <v/>
      </c>
      <c r="M98" s="18" t="str">
        <f aca="false">IF(OR($D98="",$F98=0),"",$G98/$F98)</f>
        <v/>
      </c>
      <c r="N98" s="18" t="str">
        <f aca="false">IF(OR($D98="",$F98=0),"",$H98/$F98)</f>
        <v/>
      </c>
      <c r="O98" s="17" t="str">
        <f aca="false">IF(OR($D98="",$H98=0),"",$E98/$H98)</f>
        <v/>
      </c>
      <c r="P98" s="17" t="str">
        <f aca="false">IF(OR($D98="",$J98=0),"",($E98+$K98)/$J98)</f>
        <v/>
      </c>
      <c r="Q98" s="20"/>
    </row>
    <row r="99" customFormat="false" ht="15" hidden="false" customHeight="false" outlineLevel="0" collapsed="false">
      <c r="A99" s="13"/>
      <c r="B99" s="13"/>
      <c r="C99" s="13"/>
      <c r="D99" s="14"/>
      <c r="E99" s="15"/>
      <c r="F99" s="16"/>
      <c r="G99" s="16"/>
      <c r="H99" s="16"/>
      <c r="I99" s="16"/>
      <c r="J99" s="16"/>
      <c r="K99" s="15"/>
      <c r="L99" s="17" t="str">
        <f aca="false">IF(OR($D99="",$F99=0),"",$E99/$F99)</f>
        <v/>
      </c>
      <c r="M99" s="18" t="str">
        <f aca="false">IF(OR($D99="",$F99=0),"",$G99/$F99)</f>
        <v/>
      </c>
      <c r="N99" s="18" t="str">
        <f aca="false">IF(OR($D99="",$F99=0),"",$H99/$F99)</f>
        <v/>
      </c>
      <c r="O99" s="17" t="str">
        <f aca="false">IF(OR($D99="",$H99=0),"",$E99/$H99)</f>
        <v/>
      </c>
      <c r="P99" s="17" t="str">
        <f aca="false">IF(OR($D99="",$J99=0),"",($E99+$K99)/$J99)</f>
        <v/>
      </c>
      <c r="Q99" s="20"/>
    </row>
    <row r="100" customFormat="false" ht="15" hidden="false" customHeight="false" outlineLevel="0" collapsed="false">
      <c r="A100" s="13"/>
      <c r="B100" s="13"/>
      <c r="C100" s="13"/>
      <c r="D100" s="14"/>
      <c r="E100" s="15"/>
      <c r="F100" s="16"/>
      <c r="G100" s="16"/>
      <c r="H100" s="16"/>
      <c r="I100" s="16"/>
      <c r="J100" s="16"/>
      <c r="K100" s="15"/>
      <c r="L100" s="17" t="str">
        <f aca="false">IF(OR($D100="",$F100=0),"",$E100/$F100)</f>
        <v/>
      </c>
      <c r="M100" s="18" t="str">
        <f aca="false">IF(OR($D100="",$F100=0),"",$G100/$F100)</f>
        <v/>
      </c>
      <c r="N100" s="18" t="str">
        <f aca="false">IF(OR($D100="",$F100=0),"",$H100/$F100)</f>
        <v/>
      </c>
      <c r="O100" s="17" t="str">
        <f aca="false">IF(OR($D100="",$H100=0),"",$E100/$H100)</f>
        <v/>
      </c>
      <c r="P100" s="17" t="str">
        <f aca="false">IF(OR($D100="",$J100=0),"",($E100+$K100)/$J100)</f>
        <v/>
      </c>
      <c r="Q100" s="20"/>
    </row>
    <row r="101" customFormat="false" ht="15" hidden="false" customHeight="false" outlineLevel="0" collapsed="false">
      <c r="A101" s="13"/>
      <c r="B101" s="13"/>
      <c r="C101" s="13"/>
      <c r="D101" s="14"/>
      <c r="E101" s="15"/>
      <c r="F101" s="16"/>
      <c r="G101" s="16"/>
      <c r="H101" s="16"/>
      <c r="I101" s="16"/>
      <c r="J101" s="16"/>
      <c r="K101" s="15"/>
      <c r="L101" s="17" t="str">
        <f aca="false">IF(OR($D101="",$F101=0),"",$E101/$F101)</f>
        <v/>
      </c>
      <c r="M101" s="18" t="str">
        <f aca="false">IF(OR($D101="",$F101=0),"",$G101/$F101)</f>
        <v/>
      </c>
      <c r="N101" s="18" t="str">
        <f aca="false">IF(OR($D101="",$F101=0),"",$H101/$F101)</f>
        <v/>
      </c>
      <c r="O101" s="17" t="str">
        <f aca="false">IF(OR($D101="",$H101=0),"",$E101/$H101)</f>
        <v/>
      </c>
      <c r="P101" s="17" t="str">
        <f aca="false">IF(OR($D101="",$J101=0),"",($E101+$K101)/$J101)</f>
        <v/>
      </c>
      <c r="Q101" s="20"/>
    </row>
    <row r="102" customFormat="false" ht="15" hidden="false" customHeight="false" outlineLevel="0" collapsed="false">
      <c r="A102" s="13"/>
      <c r="B102" s="13"/>
      <c r="C102" s="13"/>
      <c r="D102" s="14"/>
      <c r="E102" s="15"/>
      <c r="F102" s="16"/>
      <c r="G102" s="16"/>
      <c r="H102" s="16"/>
      <c r="I102" s="16"/>
      <c r="J102" s="16"/>
      <c r="K102" s="15"/>
      <c r="L102" s="17" t="str">
        <f aca="false">IF(OR($D102="",$F102=0),"",$E102/$F102)</f>
        <v/>
      </c>
      <c r="M102" s="18" t="str">
        <f aca="false">IF(OR($D102="",$F102=0),"",$G102/$F102)</f>
        <v/>
      </c>
      <c r="N102" s="18" t="str">
        <f aca="false">IF(OR($D102="",$F102=0),"",$H102/$F102)</f>
        <v/>
      </c>
      <c r="O102" s="17" t="str">
        <f aca="false">IF(OR($D102="",$H102=0),"",$E102/$H102)</f>
        <v/>
      </c>
      <c r="P102" s="17" t="str">
        <f aca="false">IF(OR($D102="",$J102=0),"",($E102+$K102)/$J102)</f>
        <v/>
      </c>
      <c r="Q102" s="20"/>
    </row>
    <row r="103" customFormat="false" ht="15" hidden="false" customHeight="false" outlineLevel="0" collapsed="false">
      <c r="A103" s="13"/>
      <c r="B103" s="13"/>
      <c r="C103" s="13"/>
      <c r="D103" s="14"/>
      <c r="E103" s="15"/>
      <c r="F103" s="16"/>
      <c r="G103" s="16"/>
      <c r="H103" s="16"/>
      <c r="I103" s="16"/>
      <c r="J103" s="16"/>
      <c r="K103" s="15"/>
      <c r="L103" s="17" t="str">
        <f aca="false">IF(OR($D103="",$F103=0),"",$E103/$F103)</f>
        <v/>
      </c>
      <c r="M103" s="18" t="str">
        <f aca="false">IF(OR($D103="",$F103=0),"",$G103/$F103)</f>
        <v/>
      </c>
      <c r="N103" s="18" t="str">
        <f aca="false">IF(OR($D103="",$F103=0),"",$H103/$F103)</f>
        <v/>
      </c>
      <c r="O103" s="17" t="str">
        <f aca="false">IF(OR($D103="",$H103=0),"",$E103/$H103)</f>
        <v/>
      </c>
      <c r="P103" s="17" t="str">
        <f aca="false">IF(OR($D103="",$J103=0),"",($E103+$K103)/$J103)</f>
        <v/>
      </c>
      <c r="Q103" s="20"/>
    </row>
    <row r="104" customFormat="false" ht="15" hidden="false" customHeight="false" outlineLevel="0" collapsed="false">
      <c r="A104" s="13"/>
      <c r="B104" s="13"/>
      <c r="C104" s="13"/>
      <c r="D104" s="14"/>
      <c r="E104" s="15"/>
      <c r="F104" s="16"/>
      <c r="G104" s="16"/>
      <c r="H104" s="16"/>
      <c r="I104" s="16"/>
      <c r="J104" s="16"/>
      <c r="K104" s="15"/>
      <c r="L104" s="17" t="str">
        <f aca="false">IF(OR($D104="",$F104=0),"",$E104/$F104)</f>
        <v/>
      </c>
      <c r="M104" s="18" t="str">
        <f aca="false">IF(OR($D104="",$F104=0),"",$G104/$F104)</f>
        <v/>
      </c>
      <c r="N104" s="18" t="str">
        <f aca="false">IF(OR($D104="",$F104=0),"",$H104/$F104)</f>
        <v/>
      </c>
      <c r="O104" s="17" t="str">
        <f aca="false">IF(OR($D104="",$H104=0),"",$E104/$H104)</f>
        <v/>
      </c>
      <c r="P104" s="17" t="str">
        <f aca="false">IF(OR($D104="",$J104=0),"",($E104+$K104)/$J104)</f>
        <v/>
      </c>
      <c r="Q104" s="20"/>
    </row>
    <row r="105" customFormat="false" ht="15" hidden="false" customHeight="false" outlineLevel="0" collapsed="false">
      <c r="A105" s="13"/>
      <c r="B105" s="13"/>
      <c r="C105" s="13"/>
      <c r="D105" s="14"/>
      <c r="E105" s="15"/>
      <c r="F105" s="16"/>
      <c r="G105" s="16"/>
      <c r="H105" s="16"/>
      <c r="I105" s="16"/>
      <c r="J105" s="16"/>
      <c r="K105" s="15"/>
      <c r="L105" s="17" t="str">
        <f aca="false">IF(OR($D105="",$F105=0),"",$E105/$F105)</f>
        <v/>
      </c>
      <c r="M105" s="18" t="str">
        <f aca="false">IF(OR($D105="",$F105=0),"",$G105/$F105)</f>
        <v/>
      </c>
      <c r="N105" s="18" t="str">
        <f aca="false">IF(OR($D105="",$F105=0),"",$H105/$F105)</f>
        <v/>
      </c>
      <c r="O105" s="17" t="str">
        <f aca="false">IF(OR($D105="",$H105=0),"",$E105/$H105)</f>
        <v/>
      </c>
      <c r="P105" s="17" t="str">
        <f aca="false">IF(OR($D105="",$J105=0),"",($E105+$K105)/$J105)</f>
        <v/>
      </c>
      <c r="Q105" s="20"/>
    </row>
    <row r="106" customFormat="false" ht="15" hidden="false" customHeight="false" outlineLevel="0" collapsed="false">
      <c r="A106" s="13"/>
      <c r="B106" s="13"/>
      <c r="C106" s="13"/>
      <c r="D106" s="14"/>
      <c r="E106" s="15"/>
      <c r="F106" s="16"/>
      <c r="G106" s="16"/>
      <c r="H106" s="16"/>
      <c r="I106" s="16"/>
      <c r="J106" s="16"/>
      <c r="K106" s="15"/>
      <c r="L106" s="17" t="str">
        <f aca="false">IF(OR($D106="",$F106=0),"",$E106/$F106)</f>
        <v/>
      </c>
      <c r="M106" s="18" t="str">
        <f aca="false">IF(OR($D106="",$F106=0),"",$G106/$F106)</f>
        <v/>
      </c>
      <c r="N106" s="18" t="str">
        <f aca="false">IF(OR($D106="",$F106=0),"",$H106/$F106)</f>
        <v/>
      </c>
      <c r="O106" s="17" t="str">
        <f aca="false">IF(OR($D106="",$H106=0),"",$E106/$H106)</f>
        <v/>
      </c>
      <c r="P106" s="17" t="str">
        <f aca="false">IF(OR($D106="",$J106=0),"",($E106+$K106)/$J106)</f>
        <v/>
      </c>
      <c r="Q106" s="20"/>
    </row>
    <row r="107" customFormat="false" ht="15" hidden="false" customHeight="false" outlineLevel="0" collapsed="false">
      <c r="A107" s="13"/>
      <c r="B107" s="13"/>
      <c r="C107" s="13"/>
      <c r="D107" s="14"/>
      <c r="E107" s="15"/>
      <c r="F107" s="16"/>
      <c r="G107" s="16"/>
      <c r="H107" s="16"/>
      <c r="I107" s="16"/>
      <c r="J107" s="16"/>
      <c r="K107" s="15"/>
      <c r="L107" s="17" t="str">
        <f aca="false">IF(OR($D107="",$F107=0),"",$E107/$F107)</f>
        <v/>
      </c>
      <c r="M107" s="18" t="str">
        <f aca="false">IF(OR($D107="",$F107=0),"",$G107/$F107)</f>
        <v/>
      </c>
      <c r="N107" s="18" t="str">
        <f aca="false">IF(OR($D107="",$F107=0),"",$H107/$F107)</f>
        <v/>
      </c>
      <c r="O107" s="17" t="str">
        <f aca="false">IF(OR($D107="",$H107=0),"",$E107/$H107)</f>
        <v/>
      </c>
      <c r="P107" s="17" t="str">
        <f aca="false">IF(OR($D107="",$J107=0),"",($E107+$K107)/$J107)</f>
        <v/>
      </c>
      <c r="Q107" s="20"/>
    </row>
    <row r="108" customFormat="false" ht="15" hidden="false" customHeight="false" outlineLevel="0" collapsed="false">
      <c r="A108" s="13"/>
      <c r="B108" s="13"/>
      <c r="C108" s="13"/>
      <c r="D108" s="14"/>
      <c r="E108" s="15"/>
      <c r="F108" s="16"/>
      <c r="G108" s="16"/>
      <c r="H108" s="16"/>
      <c r="I108" s="16"/>
      <c r="J108" s="16"/>
      <c r="K108" s="15"/>
      <c r="L108" s="17" t="str">
        <f aca="false">IF(OR($D108="",$F108=0),"",$E108/$F108)</f>
        <v/>
      </c>
      <c r="M108" s="18" t="str">
        <f aca="false">IF(OR($D108="",$F108=0),"",$G108/$F108)</f>
        <v/>
      </c>
      <c r="N108" s="18" t="str">
        <f aca="false">IF(OR($D108="",$F108=0),"",$H108/$F108)</f>
        <v/>
      </c>
      <c r="O108" s="17" t="str">
        <f aca="false">IF(OR($D108="",$H108=0),"",$E108/$H108)</f>
        <v/>
      </c>
      <c r="P108" s="17" t="str">
        <f aca="false">IF(OR($D108="",$J108=0),"",($E108+$K108)/$J108)</f>
        <v/>
      </c>
      <c r="Q108" s="20"/>
    </row>
    <row r="109" customFormat="false" ht="15" hidden="false" customHeight="false" outlineLevel="0" collapsed="false">
      <c r="A109" s="13"/>
      <c r="B109" s="13"/>
      <c r="C109" s="13"/>
      <c r="D109" s="14"/>
      <c r="E109" s="15"/>
      <c r="F109" s="16"/>
      <c r="G109" s="16"/>
      <c r="H109" s="16"/>
      <c r="I109" s="16"/>
      <c r="J109" s="16"/>
      <c r="K109" s="15"/>
      <c r="L109" s="17" t="str">
        <f aca="false">IF(OR($D109="",$F109=0),"",$E109/$F109)</f>
        <v/>
      </c>
      <c r="M109" s="18" t="str">
        <f aca="false">IF(OR($D109="",$F109=0),"",$G109/$F109)</f>
        <v/>
      </c>
      <c r="N109" s="18" t="str">
        <f aca="false">IF(OR($D109="",$F109=0),"",$H109/$F109)</f>
        <v/>
      </c>
      <c r="O109" s="17" t="str">
        <f aca="false">IF(OR($D109="",$H109=0),"",$E109/$H109)</f>
        <v/>
      </c>
      <c r="P109" s="17" t="str">
        <f aca="false">IF(OR($D109="",$J109=0),"",($E109+$K109)/$J109)</f>
        <v/>
      </c>
      <c r="Q109" s="20"/>
    </row>
    <row r="110" customFormat="false" ht="15" hidden="false" customHeight="false" outlineLevel="0" collapsed="false">
      <c r="A110" s="13"/>
      <c r="B110" s="13"/>
      <c r="C110" s="13"/>
      <c r="D110" s="14"/>
      <c r="E110" s="15"/>
      <c r="F110" s="16"/>
      <c r="G110" s="16"/>
      <c r="H110" s="16"/>
      <c r="I110" s="16"/>
      <c r="J110" s="16"/>
      <c r="K110" s="15"/>
      <c r="L110" s="17" t="str">
        <f aca="false">IF(OR($D110="",$F110=0),"",$E110/$F110)</f>
        <v/>
      </c>
      <c r="M110" s="18" t="str">
        <f aca="false">IF(OR($D110="",$F110=0),"",$G110/$F110)</f>
        <v/>
      </c>
      <c r="N110" s="18" t="str">
        <f aca="false">IF(OR($D110="",$F110=0),"",$H110/$F110)</f>
        <v/>
      </c>
      <c r="O110" s="17" t="str">
        <f aca="false">IF(OR($D110="",$H110=0),"",$E110/$H110)</f>
        <v/>
      </c>
      <c r="P110" s="17" t="str">
        <f aca="false">IF(OR($D110="",$J110=0),"",($E110+$K110)/$J110)</f>
        <v/>
      </c>
      <c r="Q110" s="20"/>
    </row>
    <row r="111" customFormat="false" ht="15" hidden="false" customHeight="false" outlineLevel="0" collapsed="false">
      <c r="A111" s="13"/>
      <c r="B111" s="13"/>
      <c r="C111" s="13"/>
      <c r="D111" s="14"/>
      <c r="E111" s="15"/>
      <c r="F111" s="16"/>
      <c r="G111" s="16"/>
      <c r="H111" s="16"/>
      <c r="I111" s="16"/>
      <c r="J111" s="16"/>
      <c r="K111" s="15"/>
      <c r="L111" s="17" t="str">
        <f aca="false">IF(OR($D111="",$F111=0),"",$E111/$F111)</f>
        <v/>
      </c>
      <c r="M111" s="18" t="str">
        <f aca="false">IF(OR($D111="",$F111=0),"",$G111/$F111)</f>
        <v/>
      </c>
      <c r="N111" s="18" t="str">
        <f aca="false">IF(OR($D111="",$F111=0),"",$H111/$F111)</f>
        <v/>
      </c>
      <c r="O111" s="17" t="str">
        <f aca="false">IF(OR($D111="",$H111=0),"",$E111/$H111)</f>
        <v/>
      </c>
      <c r="P111" s="17" t="str">
        <f aca="false">IF(OR($D111="",$J111=0),"",($E111+$K111)/$J111)</f>
        <v/>
      </c>
      <c r="Q111" s="20"/>
    </row>
    <row r="112" customFormat="false" ht="15" hidden="false" customHeight="false" outlineLevel="0" collapsed="false">
      <c r="A112" s="13"/>
      <c r="B112" s="13"/>
      <c r="C112" s="13"/>
      <c r="D112" s="14"/>
      <c r="E112" s="15"/>
      <c r="F112" s="16"/>
      <c r="G112" s="16"/>
      <c r="H112" s="16"/>
      <c r="I112" s="16"/>
      <c r="J112" s="16"/>
      <c r="K112" s="15"/>
      <c r="L112" s="17" t="str">
        <f aca="false">IF(OR($D112="",$F112=0),"",$E112/$F112)</f>
        <v/>
      </c>
      <c r="M112" s="18" t="str">
        <f aca="false">IF(OR($D112="",$F112=0),"",$G112/$F112)</f>
        <v/>
      </c>
      <c r="N112" s="18" t="str">
        <f aca="false">IF(OR($D112="",$F112=0),"",$H112/$F112)</f>
        <v/>
      </c>
      <c r="O112" s="17" t="str">
        <f aca="false">IF(OR($D112="",$H112=0),"",$E112/$H112)</f>
        <v/>
      </c>
      <c r="P112" s="17" t="str">
        <f aca="false">IF(OR($D112="",$J112=0),"",($E112+$K112)/$J112)</f>
        <v/>
      </c>
      <c r="Q112" s="20"/>
    </row>
    <row r="113" customFormat="false" ht="15" hidden="false" customHeight="false" outlineLevel="0" collapsed="false">
      <c r="A113" s="13"/>
      <c r="B113" s="13"/>
      <c r="C113" s="13"/>
      <c r="D113" s="14"/>
      <c r="E113" s="15"/>
      <c r="F113" s="16"/>
      <c r="G113" s="16"/>
      <c r="H113" s="16"/>
      <c r="I113" s="16"/>
      <c r="J113" s="16"/>
      <c r="K113" s="15"/>
      <c r="L113" s="17" t="str">
        <f aca="false">IF(OR($D113="",$F113=0),"",$E113/$F113)</f>
        <v/>
      </c>
      <c r="M113" s="18" t="str">
        <f aca="false">IF(OR($D113="",$F113=0),"",$G113/$F113)</f>
        <v/>
      </c>
      <c r="N113" s="18" t="str">
        <f aca="false">IF(OR($D113="",$F113=0),"",$H113/$F113)</f>
        <v/>
      </c>
      <c r="O113" s="17" t="str">
        <f aca="false">IF(OR($D113="",$H113=0),"",$E113/$H113)</f>
        <v/>
      </c>
      <c r="P113" s="17" t="str">
        <f aca="false">IF(OR($D113="",$J113=0),"",($E113+$K113)/$J113)</f>
        <v/>
      </c>
      <c r="Q113" s="20"/>
    </row>
    <row r="114" customFormat="false" ht="15" hidden="false" customHeight="false" outlineLevel="0" collapsed="false">
      <c r="A114" s="13"/>
      <c r="B114" s="13"/>
      <c r="C114" s="13"/>
      <c r="D114" s="14"/>
      <c r="E114" s="15"/>
      <c r="F114" s="16"/>
      <c r="G114" s="16"/>
      <c r="H114" s="16"/>
      <c r="I114" s="16"/>
      <c r="J114" s="16"/>
      <c r="K114" s="15"/>
      <c r="L114" s="17" t="str">
        <f aca="false">IF(OR($D114="",$F114=0),"",$E114/$F114)</f>
        <v/>
      </c>
      <c r="M114" s="18" t="str">
        <f aca="false">IF(OR($D114="",$F114=0),"",$G114/$F114)</f>
        <v/>
      </c>
      <c r="N114" s="18" t="str">
        <f aca="false">IF(OR($D114="",$F114=0),"",$H114/$F114)</f>
        <v/>
      </c>
      <c r="O114" s="17" t="str">
        <f aca="false">IF(OR($D114="",$H114=0),"",$E114/$H114)</f>
        <v/>
      </c>
      <c r="P114" s="17" t="str">
        <f aca="false">IF(OR($D114="",$J114=0),"",($E114+$K114)/$J114)</f>
        <v/>
      </c>
      <c r="Q114" s="20"/>
    </row>
    <row r="115" customFormat="false" ht="15" hidden="false" customHeight="false" outlineLevel="0" collapsed="false">
      <c r="A115" s="13"/>
      <c r="B115" s="13"/>
      <c r="C115" s="13"/>
      <c r="D115" s="14"/>
      <c r="E115" s="15"/>
      <c r="F115" s="16"/>
      <c r="G115" s="16"/>
      <c r="H115" s="16"/>
      <c r="I115" s="16"/>
      <c r="J115" s="16"/>
      <c r="K115" s="15"/>
      <c r="L115" s="17" t="str">
        <f aca="false">IF(OR($D115="",$F115=0),"",$E115/$F115)</f>
        <v/>
      </c>
      <c r="M115" s="18" t="str">
        <f aca="false">IF(OR($D115="",$F115=0),"",$G115/$F115)</f>
        <v/>
      </c>
      <c r="N115" s="18" t="str">
        <f aca="false">IF(OR($D115="",$F115=0),"",$H115/$F115)</f>
        <v/>
      </c>
      <c r="O115" s="17" t="str">
        <f aca="false">IF(OR($D115="",$H115=0),"",$E115/$H115)</f>
        <v/>
      </c>
      <c r="P115" s="17" t="str">
        <f aca="false">IF(OR($D115="",$J115=0),"",($E115+$K115)/$J115)</f>
        <v/>
      </c>
      <c r="Q115" s="20"/>
    </row>
    <row r="116" customFormat="false" ht="15" hidden="false" customHeight="false" outlineLevel="0" collapsed="false">
      <c r="A116" s="13"/>
      <c r="B116" s="13"/>
      <c r="C116" s="13"/>
      <c r="D116" s="14"/>
      <c r="E116" s="15"/>
      <c r="F116" s="16"/>
      <c r="G116" s="16"/>
      <c r="H116" s="16"/>
      <c r="I116" s="16"/>
      <c r="J116" s="16"/>
      <c r="K116" s="15"/>
      <c r="L116" s="17" t="str">
        <f aca="false">IF(OR($D116="",$F116=0),"",$E116/$F116)</f>
        <v/>
      </c>
      <c r="M116" s="18" t="str">
        <f aca="false">IF(OR($D116="",$F116=0),"",$G116/$F116)</f>
        <v/>
      </c>
      <c r="N116" s="18" t="str">
        <f aca="false">IF(OR($D116="",$F116=0),"",$H116/$F116)</f>
        <v/>
      </c>
      <c r="O116" s="17" t="str">
        <f aca="false">IF(OR($D116="",$H116=0),"",$E116/$H116)</f>
        <v/>
      </c>
      <c r="P116" s="17" t="str">
        <f aca="false">IF(OR($D116="",$J116=0),"",($E116+$K116)/$J116)</f>
        <v/>
      </c>
      <c r="Q116" s="20"/>
    </row>
    <row r="117" customFormat="false" ht="15" hidden="false" customHeight="false" outlineLevel="0" collapsed="false">
      <c r="A117" s="13"/>
      <c r="B117" s="13"/>
      <c r="C117" s="13"/>
      <c r="D117" s="14"/>
      <c r="E117" s="15"/>
      <c r="F117" s="16"/>
      <c r="G117" s="16"/>
      <c r="H117" s="16"/>
      <c r="I117" s="16"/>
      <c r="J117" s="16"/>
      <c r="K117" s="15"/>
      <c r="L117" s="17" t="str">
        <f aca="false">IF(OR($D117="",$F117=0),"",$E117/$F117)</f>
        <v/>
      </c>
      <c r="M117" s="18" t="str">
        <f aca="false">IF(OR($D117="",$F117=0),"",$G117/$F117)</f>
        <v/>
      </c>
      <c r="N117" s="18" t="str">
        <f aca="false">IF(OR($D117="",$F117=0),"",$H117/$F117)</f>
        <v/>
      </c>
      <c r="O117" s="17" t="str">
        <f aca="false">IF(OR($D117="",$H117=0),"",$E117/$H117)</f>
        <v/>
      </c>
      <c r="P117" s="17" t="str">
        <f aca="false">IF(OR($D117="",$J117=0),"",($E117+$K117)/$J117)</f>
        <v/>
      </c>
      <c r="Q117" s="20"/>
    </row>
    <row r="118" customFormat="false" ht="15" hidden="false" customHeight="false" outlineLevel="0" collapsed="false">
      <c r="A118" s="13"/>
      <c r="B118" s="13"/>
      <c r="C118" s="13"/>
      <c r="D118" s="14"/>
      <c r="E118" s="15"/>
      <c r="F118" s="16"/>
      <c r="G118" s="16"/>
      <c r="H118" s="16"/>
      <c r="I118" s="16"/>
      <c r="J118" s="16"/>
      <c r="K118" s="15"/>
      <c r="L118" s="17" t="str">
        <f aca="false">IF(OR($D118="",$F118=0),"",$E118/$F118)</f>
        <v/>
      </c>
      <c r="M118" s="18" t="str">
        <f aca="false">IF(OR($D118="",$F118=0),"",$G118/$F118)</f>
        <v/>
      </c>
      <c r="N118" s="18" t="str">
        <f aca="false">IF(OR($D118="",$F118=0),"",$H118/$F118)</f>
        <v/>
      </c>
      <c r="O118" s="17" t="str">
        <f aca="false">IF(OR($D118="",$H118=0),"",$E118/$H118)</f>
        <v/>
      </c>
      <c r="P118" s="17" t="str">
        <f aca="false">IF(OR($D118="",$J118=0),"",($E118+$K118)/$J118)</f>
        <v/>
      </c>
      <c r="Q118" s="20"/>
    </row>
    <row r="119" customFormat="false" ht="15" hidden="false" customHeight="false" outlineLevel="0" collapsed="false">
      <c r="A119" s="13"/>
      <c r="B119" s="13"/>
      <c r="C119" s="13"/>
      <c r="D119" s="14"/>
      <c r="E119" s="15"/>
      <c r="F119" s="16"/>
      <c r="G119" s="16"/>
      <c r="H119" s="16"/>
      <c r="I119" s="16"/>
      <c r="J119" s="16"/>
      <c r="K119" s="15"/>
      <c r="L119" s="17" t="str">
        <f aca="false">IF(OR($D119="",$F119=0),"",$E119/$F119)</f>
        <v/>
      </c>
      <c r="M119" s="18" t="str">
        <f aca="false">IF(OR($D119="",$F119=0),"",$G119/$F119)</f>
        <v/>
      </c>
      <c r="N119" s="18" t="str">
        <f aca="false">IF(OR($D119="",$F119=0),"",$H119/$F119)</f>
        <v/>
      </c>
      <c r="O119" s="17" t="str">
        <f aca="false">IF(OR($D119="",$H119=0),"",$E119/$H119)</f>
        <v/>
      </c>
      <c r="P119" s="17" t="str">
        <f aca="false">IF(OR($D119="",$J119=0),"",($E119+$K119)/$J119)</f>
        <v/>
      </c>
      <c r="Q119" s="20"/>
    </row>
    <row r="120" customFormat="false" ht="15" hidden="false" customHeight="false" outlineLevel="0" collapsed="false">
      <c r="A120" s="13"/>
      <c r="B120" s="13"/>
      <c r="C120" s="13"/>
      <c r="D120" s="14"/>
      <c r="E120" s="15"/>
      <c r="F120" s="16"/>
      <c r="G120" s="16"/>
      <c r="H120" s="16"/>
      <c r="I120" s="16"/>
      <c r="J120" s="16"/>
      <c r="K120" s="15"/>
      <c r="L120" s="17" t="str">
        <f aca="false">IF(OR($D120="",$F120=0),"",$E120/$F120)</f>
        <v/>
      </c>
      <c r="M120" s="18" t="str">
        <f aca="false">IF(OR($D120="",$F120=0),"",$G120/$F120)</f>
        <v/>
      </c>
      <c r="N120" s="18" t="str">
        <f aca="false">IF(OR($D120="",$F120=0),"",$H120/$F120)</f>
        <v/>
      </c>
      <c r="O120" s="17" t="str">
        <f aca="false">IF(OR($D120="",$H120=0),"",$E120/$H120)</f>
        <v/>
      </c>
      <c r="P120" s="17" t="str">
        <f aca="false">IF(OR($D120="",$J120=0),"",($E120+$K120)/$J120)</f>
        <v/>
      </c>
      <c r="Q120" s="20"/>
    </row>
    <row r="121" customFormat="false" ht="15" hidden="false" customHeight="false" outlineLevel="0" collapsed="false">
      <c r="A121" s="13"/>
      <c r="B121" s="13"/>
      <c r="C121" s="13"/>
      <c r="D121" s="14"/>
      <c r="E121" s="15"/>
      <c r="F121" s="16"/>
      <c r="G121" s="16"/>
      <c r="H121" s="16"/>
      <c r="I121" s="16"/>
      <c r="J121" s="16"/>
      <c r="K121" s="15"/>
      <c r="L121" s="17" t="str">
        <f aca="false">IF(OR($D121="",$F121=0),"",$E121/$F121)</f>
        <v/>
      </c>
      <c r="M121" s="18" t="str">
        <f aca="false">IF(OR($D121="",$F121=0),"",$G121/$F121)</f>
        <v/>
      </c>
      <c r="N121" s="18" t="str">
        <f aca="false">IF(OR($D121="",$F121=0),"",$H121/$F121)</f>
        <v/>
      </c>
      <c r="O121" s="17" t="str">
        <f aca="false">IF(OR($D121="",$H121=0),"",$E121/$H121)</f>
        <v/>
      </c>
      <c r="P121" s="17" t="str">
        <f aca="false">IF(OR($D121="",$J121=0),"",($E121+$K121)/$J121)</f>
        <v/>
      </c>
      <c r="Q121" s="20"/>
    </row>
    <row r="122" customFormat="false" ht="15" hidden="false" customHeight="false" outlineLevel="0" collapsed="false">
      <c r="A122" s="13"/>
      <c r="B122" s="13"/>
      <c r="C122" s="13"/>
      <c r="D122" s="14"/>
      <c r="E122" s="15"/>
      <c r="F122" s="16"/>
      <c r="G122" s="16"/>
      <c r="H122" s="16"/>
      <c r="I122" s="16"/>
      <c r="J122" s="16"/>
      <c r="K122" s="15"/>
      <c r="L122" s="17" t="str">
        <f aca="false">IF(OR($D122="",$F122=0),"",$E122/$F122)</f>
        <v/>
      </c>
      <c r="M122" s="18" t="str">
        <f aca="false">IF(OR($D122="",$F122=0),"",$G122/$F122)</f>
        <v/>
      </c>
      <c r="N122" s="18" t="str">
        <f aca="false">IF(OR($D122="",$F122=0),"",$H122/$F122)</f>
        <v/>
      </c>
      <c r="O122" s="17" t="str">
        <f aca="false">IF(OR($D122="",$H122=0),"",$E122/$H122)</f>
        <v/>
      </c>
      <c r="P122" s="17" t="str">
        <f aca="false">IF(OR($D122="",$J122=0),"",($E122+$K122)/$J122)</f>
        <v/>
      </c>
      <c r="Q122" s="20"/>
    </row>
    <row r="123" customFormat="false" ht="15" hidden="false" customHeight="false" outlineLevel="0" collapsed="false">
      <c r="A123" s="13"/>
      <c r="B123" s="13"/>
      <c r="C123" s="13"/>
      <c r="D123" s="14"/>
      <c r="E123" s="15"/>
      <c r="F123" s="16"/>
      <c r="G123" s="16"/>
      <c r="H123" s="16"/>
      <c r="I123" s="16"/>
      <c r="J123" s="16"/>
      <c r="K123" s="15"/>
      <c r="L123" s="17" t="str">
        <f aca="false">IF(OR($D123="",$F123=0),"",$E123/$F123)</f>
        <v/>
      </c>
      <c r="M123" s="18" t="str">
        <f aca="false">IF(OR($D123="",$F123=0),"",$G123/$F123)</f>
        <v/>
      </c>
      <c r="N123" s="18" t="str">
        <f aca="false">IF(OR($D123="",$F123=0),"",$H123/$F123)</f>
        <v/>
      </c>
      <c r="O123" s="17" t="str">
        <f aca="false">IF(OR($D123="",$H123=0),"",$E123/$H123)</f>
        <v/>
      </c>
      <c r="P123" s="17" t="str">
        <f aca="false">IF(OR($D123="",$J123=0),"",($E123+$K123)/$J123)</f>
        <v/>
      </c>
      <c r="Q123" s="20"/>
    </row>
    <row r="124" customFormat="false" ht="15" hidden="false" customHeight="false" outlineLevel="0" collapsed="false">
      <c r="A124" s="13"/>
      <c r="B124" s="13"/>
      <c r="C124" s="13"/>
      <c r="D124" s="14"/>
      <c r="E124" s="15"/>
      <c r="F124" s="16"/>
      <c r="G124" s="16"/>
      <c r="H124" s="16"/>
      <c r="I124" s="16"/>
      <c r="J124" s="16"/>
      <c r="K124" s="15"/>
      <c r="L124" s="17" t="str">
        <f aca="false">IF(OR($D124="",$F124=0),"",$E124/$F124)</f>
        <v/>
      </c>
      <c r="M124" s="18" t="str">
        <f aca="false">IF(OR($D124="",$F124=0),"",$G124/$F124)</f>
        <v/>
      </c>
      <c r="N124" s="18" t="str">
        <f aca="false">IF(OR($D124="",$F124=0),"",$H124/$F124)</f>
        <v/>
      </c>
      <c r="O124" s="17" t="str">
        <f aca="false">IF(OR($D124="",$H124=0),"",$E124/$H124)</f>
        <v/>
      </c>
      <c r="P124" s="17" t="str">
        <f aca="false">IF(OR($D124="",$J124=0),"",($E124+$K124)/$J124)</f>
        <v/>
      </c>
      <c r="Q124" s="20"/>
    </row>
    <row r="125" customFormat="false" ht="15" hidden="false" customHeight="false" outlineLevel="0" collapsed="false">
      <c r="A125" s="13"/>
      <c r="B125" s="13"/>
      <c r="C125" s="13"/>
      <c r="D125" s="14"/>
      <c r="E125" s="15"/>
      <c r="F125" s="16"/>
      <c r="G125" s="16"/>
      <c r="H125" s="16"/>
      <c r="I125" s="16"/>
      <c r="J125" s="16"/>
      <c r="K125" s="15"/>
      <c r="L125" s="17" t="str">
        <f aca="false">IF(OR($D125="",$F125=0),"",$E125/$F125)</f>
        <v/>
      </c>
      <c r="M125" s="18" t="str">
        <f aca="false">IF(OR($D125="",$F125=0),"",$G125/$F125)</f>
        <v/>
      </c>
      <c r="N125" s="18" t="str">
        <f aca="false">IF(OR($D125="",$F125=0),"",$H125/$F125)</f>
        <v/>
      </c>
      <c r="O125" s="17" t="str">
        <f aca="false">IF(OR($D125="",$H125=0),"",$E125/$H125)</f>
        <v/>
      </c>
      <c r="P125" s="17" t="str">
        <f aca="false">IF(OR($D125="",$J125=0),"",($E125+$K125)/$J125)</f>
        <v/>
      </c>
      <c r="Q125" s="20"/>
    </row>
    <row r="126" customFormat="false" ht="15" hidden="false" customHeight="false" outlineLevel="0" collapsed="false">
      <c r="A126" s="13"/>
      <c r="B126" s="13"/>
      <c r="C126" s="13"/>
      <c r="D126" s="14"/>
      <c r="E126" s="15"/>
      <c r="F126" s="16"/>
      <c r="G126" s="16"/>
      <c r="H126" s="16"/>
      <c r="I126" s="16"/>
      <c r="J126" s="16"/>
      <c r="K126" s="15"/>
      <c r="L126" s="17" t="str">
        <f aca="false">IF(OR($D126="",$F126=0),"",$E126/$F126)</f>
        <v/>
      </c>
      <c r="M126" s="18" t="str">
        <f aca="false">IF(OR($D126="",$F126=0),"",$G126/$F126)</f>
        <v/>
      </c>
      <c r="N126" s="18" t="str">
        <f aca="false">IF(OR($D126="",$F126=0),"",$H126/$F126)</f>
        <v/>
      </c>
      <c r="O126" s="17" t="str">
        <f aca="false">IF(OR($D126="",$H126=0),"",$E126/$H126)</f>
        <v/>
      </c>
      <c r="P126" s="17" t="str">
        <f aca="false">IF(OR($D126="",$J126=0),"",($E126+$K126)/$J126)</f>
        <v/>
      </c>
      <c r="Q126" s="20"/>
    </row>
    <row r="127" customFormat="false" ht="15" hidden="false" customHeight="false" outlineLevel="0" collapsed="false">
      <c r="A127" s="13"/>
      <c r="B127" s="13"/>
      <c r="C127" s="13"/>
      <c r="D127" s="14"/>
      <c r="E127" s="15"/>
      <c r="F127" s="16"/>
      <c r="G127" s="16"/>
      <c r="H127" s="16"/>
      <c r="I127" s="16"/>
      <c r="J127" s="16"/>
      <c r="K127" s="15"/>
      <c r="L127" s="17" t="str">
        <f aca="false">IF(OR($D127="",$F127=0),"",$E127/$F127)</f>
        <v/>
      </c>
      <c r="M127" s="18" t="str">
        <f aca="false">IF(OR($D127="",$F127=0),"",$G127/$F127)</f>
        <v/>
      </c>
      <c r="N127" s="18" t="str">
        <f aca="false">IF(OR($D127="",$F127=0),"",$H127/$F127)</f>
        <v/>
      </c>
      <c r="O127" s="17" t="str">
        <f aca="false">IF(OR($D127="",$H127=0),"",$E127/$H127)</f>
        <v/>
      </c>
      <c r="P127" s="17" t="str">
        <f aca="false">IF(OR($D127="",$J127=0),"",($E127+$K127)/$J127)</f>
        <v/>
      </c>
      <c r="Q127" s="20"/>
    </row>
    <row r="128" customFormat="false" ht="15" hidden="false" customHeight="false" outlineLevel="0" collapsed="false">
      <c r="A128" s="13"/>
      <c r="B128" s="13"/>
      <c r="C128" s="13"/>
      <c r="D128" s="14"/>
      <c r="E128" s="15"/>
      <c r="F128" s="16"/>
      <c r="G128" s="16"/>
      <c r="H128" s="16"/>
      <c r="I128" s="16"/>
      <c r="J128" s="16"/>
      <c r="K128" s="15"/>
      <c r="L128" s="17" t="str">
        <f aca="false">IF(OR($D128="",$F128=0),"",$E128/$F128)</f>
        <v/>
      </c>
      <c r="M128" s="18" t="str">
        <f aca="false">IF(OR($D128="",$F128=0),"",$G128/$F128)</f>
        <v/>
      </c>
      <c r="N128" s="18" t="str">
        <f aca="false">IF(OR($D128="",$F128=0),"",$H128/$F128)</f>
        <v/>
      </c>
      <c r="O128" s="17" t="str">
        <f aca="false">IF(OR($D128="",$H128=0),"",$E128/$H128)</f>
        <v/>
      </c>
      <c r="P128" s="17" t="str">
        <f aca="false">IF(OR($D128="",$J128=0),"",($E128+$K128)/$J128)</f>
        <v/>
      </c>
      <c r="Q128" s="20"/>
    </row>
    <row r="129" customFormat="false" ht="15" hidden="false" customHeight="false" outlineLevel="0" collapsed="false">
      <c r="A129" s="13"/>
      <c r="B129" s="13"/>
      <c r="C129" s="13"/>
      <c r="D129" s="14"/>
      <c r="E129" s="15"/>
      <c r="F129" s="16"/>
      <c r="G129" s="16"/>
      <c r="H129" s="16"/>
      <c r="I129" s="16"/>
      <c r="J129" s="16"/>
      <c r="K129" s="15"/>
      <c r="L129" s="17" t="str">
        <f aca="false">IF(OR($D129="",$F129=0),"",$E129/$F129)</f>
        <v/>
      </c>
      <c r="M129" s="18" t="str">
        <f aca="false">IF(OR($D129="",$F129=0),"",$G129/$F129)</f>
        <v/>
      </c>
      <c r="N129" s="18" t="str">
        <f aca="false">IF(OR($D129="",$F129=0),"",$H129/$F129)</f>
        <v/>
      </c>
      <c r="O129" s="17" t="str">
        <f aca="false">IF(OR($D129="",$H129=0),"",$E129/$H129)</f>
        <v/>
      </c>
      <c r="P129" s="17" t="str">
        <f aca="false">IF(OR($D129="",$J129=0),"",($E129+$K129)/$J129)</f>
        <v/>
      </c>
      <c r="Q129" s="20"/>
    </row>
    <row r="130" customFormat="false" ht="15" hidden="false" customHeight="false" outlineLevel="0" collapsed="false">
      <c r="A130" s="13"/>
      <c r="B130" s="13"/>
      <c r="C130" s="13"/>
      <c r="D130" s="14"/>
      <c r="E130" s="15"/>
      <c r="F130" s="16"/>
      <c r="G130" s="16"/>
      <c r="H130" s="16"/>
      <c r="I130" s="16"/>
      <c r="J130" s="16"/>
      <c r="K130" s="15"/>
      <c r="L130" s="17" t="str">
        <f aca="false">IF(OR($D130="",$F130=0),"",$E130/$F130)</f>
        <v/>
      </c>
      <c r="M130" s="18" t="str">
        <f aca="false">IF(OR($D130="",$F130=0),"",$G130/$F130)</f>
        <v/>
      </c>
      <c r="N130" s="18" t="str">
        <f aca="false">IF(OR($D130="",$F130=0),"",$H130/$F130)</f>
        <v/>
      </c>
      <c r="O130" s="17" t="str">
        <f aca="false">IF(OR($D130="",$H130=0),"",$E130/$H130)</f>
        <v/>
      </c>
      <c r="P130" s="17" t="str">
        <f aca="false">IF(OR($D130="",$J130=0),"",($E130+$K130)/$J130)</f>
        <v/>
      </c>
      <c r="Q130" s="20"/>
    </row>
    <row r="131" customFormat="false" ht="15" hidden="false" customHeight="false" outlineLevel="0" collapsed="false">
      <c r="A131" s="13"/>
      <c r="B131" s="13"/>
      <c r="C131" s="13"/>
      <c r="D131" s="14"/>
      <c r="E131" s="15"/>
      <c r="F131" s="16"/>
      <c r="G131" s="16"/>
      <c r="H131" s="16"/>
      <c r="I131" s="16"/>
      <c r="J131" s="16"/>
      <c r="K131" s="15"/>
      <c r="L131" s="17" t="str">
        <f aca="false">IF(OR($D131="",$F131=0),"",$E131/$F131)</f>
        <v/>
      </c>
      <c r="M131" s="18" t="str">
        <f aca="false">IF(OR($D131="",$F131=0),"",$G131/$F131)</f>
        <v/>
      </c>
      <c r="N131" s="18" t="str">
        <f aca="false">IF(OR($D131="",$F131=0),"",$H131/$F131)</f>
        <v/>
      </c>
      <c r="O131" s="17" t="str">
        <f aca="false">IF(OR($D131="",$H131=0),"",$E131/$H131)</f>
        <v/>
      </c>
      <c r="P131" s="17" t="str">
        <f aca="false">IF(OR($D131="",$J131=0),"",($E131+$K131)/$J131)</f>
        <v/>
      </c>
      <c r="Q131" s="20"/>
    </row>
    <row r="132" customFormat="false" ht="15" hidden="false" customHeight="false" outlineLevel="0" collapsed="false">
      <c r="A132" s="13"/>
      <c r="B132" s="13"/>
      <c r="C132" s="13"/>
      <c r="D132" s="14"/>
      <c r="E132" s="15"/>
      <c r="F132" s="16"/>
      <c r="G132" s="16"/>
      <c r="H132" s="16"/>
      <c r="I132" s="16"/>
      <c r="J132" s="16"/>
      <c r="K132" s="15"/>
      <c r="L132" s="17" t="str">
        <f aca="false">IF(OR($D132="",$F132=0),"",$E132/$F132)</f>
        <v/>
      </c>
      <c r="M132" s="18" t="str">
        <f aca="false">IF(OR($D132="",$F132=0),"",$G132/$F132)</f>
        <v/>
      </c>
      <c r="N132" s="18" t="str">
        <f aca="false">IF(OR($D132="",$F132=0),"",$H132/$F132)</f>
        <v/>
      </c>
      <c r="O132" s="17" t="str">
        <f aca="false">IF(OR($D132="",$H132=0),"",$E132/$H132)</f>
        <v/>
      </c>
      <c r="P132" s="17" t="str">
        <f aca="false">IF(OR($D132="",$J132=0),"",($E132+$K132)/$J132)</f>
        <v/>
      </c>
      <c r="Q132" s="20"/>
    </row>
    <row r="133" customFormat="false" ht="15" hidden="false" customHeight="false" outlineLevel="0" collapsed="false">
      <c r="A133" s="13"/>
      <c r="B133" s="13"/>
      <c r="C133" s="13"/>
      <c r="D133" s="14"/>
      <c r="E133" s="15"/>
      <c r="F133" s="16"/>
      <c r="G133" s="16"/>
      <c r="H133" s="16"/>
      <c r="I133" s="16"/>
      <c r="J133" s="16"/>
      <c r="K133" s="15"/>
      <c r="L133" s="17" t="str">
        <f aca="false">IF(OR($D133="",$F133=0),"",$E133/$F133)</f>
        <v/>
      </c>
      <c r="M133" s="18" t="str">
        <f aca="false">IF(OR($D133="",$F133=0),"",$G133/$F133)</f>
        <v/>
      </c>
      <c r="N133" s="18" t="str">
        <f aca="false">IF(OR($D133="",$F133=0),"",$H133/$F133)</f>
        <v/>
      </c>
      <c r="O133" s="17" t="str">
        <f aca="false">IF(OR($D133="",$H133=0),"",$E133/$H133)</f>
        <v/>
      </c>
      <c r="P133" s="17" t="str">
        <f aca="false">IF(OR($D133="",$J133=0),"",($E133+$K133)/$J133)</f>
        <v/>
      </c>
      <c r="Q133" s="20"/>
    </row>
    <row r="134" customFormat="false" ht="15" hidden="false" customHeight="false" outlineLevel="0" collapsed="false">
      <c r="A134" s="13"/>
      <c r="B134" s="13"/>
      <c r="C134" s="13"/>
      <c r="D134" s="14"/>
      <c r="E134" s="15"/>
      <c r="F134" s="16"/>
      <c r="G134" s="16"/>
      <c r="H134" s="16"/>
      <c r="I134" s="16"/>
      <c r="J134" s="16"/>
      <c r="K134" s="15"/>
      <c r="L134" s="17" t="str">
        <f aca="false">IF(OR($D134="",$F134=0),"",$E134/$F134)</f>
        <v/>
      </c>
      <c r="M134" s="18" t="str">
        <f aca="false">IF(OR($D134="",$F134=0),"",$G134/$F134)</f>
        <v/>
      </c>
      <c r="N134" s="18" t="str">
        <f aca="false">IF(OR($D134="",$F134=0),"",$H134/$F134)</f>
        <v/>
      </c>
      <c r="O134" s="17" t="str">
        <f aca="false">IF(OR($D134="",$H134=0),"",$E134/$H134)</f>
        <v/>
      </c>
      <c r="P134" s="17" t="str">
        <f aca="false">IF(OR($D134="",$J134=0),"",($E134+$K134)/$J134)</f>
        <v/>
      </c>
      <c r="Q134" s="20"/>
    </row>
    <row r="135" customFormat="false" ht="15" hidden="false" customHeight="false" outlineLevel="0" collapsed="false">
      <c r="A135" s="13"/>
      <c r="B135" s="13"/>
      <c r="C135" s="13"/>
      <c r="D135" s="14"/>
      <c r="E135" s="15"/>
      <c r="F135" s="16"/>
      <c r="G135" s="16"/>
      <c r="H135" s="16"/>
      <c r="I135" s="16"/>
      <c r="J135" s="16"/>
      <c r="K135" s="15"/>
      <c r="L135" s="17" t="str">
        <f aca="false">IF(OR($D135="",$F135=0),"",$E135/$F135)</f>
        <v/>
      </c>
      <c r="M135" s="18" t="str">
        <f aca="false">IF(OR($D135="",$F135=0),"",$G135/$F135)</f>
        <v/>
      </c>
      <c r="N135" s="18" t="str">
        <f aca="false">IF(OR($D135="",$F135=0),"",$H135/$F135)</f>
        <v/>
      </c>
      <c r="O135" s="17" t="str">
        <f aca="false">IF(OR($D135="",$H135=0),"",$E135/$H135)</f>
        <v/>
      </c>
      <c r="P135" s="17" t="str">
        <f aca="false">IF(OR($D135="",$J135=0),"",($E135+$K135)/$J135)</f>
        <v/>
      </c>
      <c r="Q135" s="20"/>
    </row>
    <row r="136" customFormat="false" ht="15" hidden="false" customHeight="false" outlineLevel="0" collapsed="false">
      <c r="A136" s="13"/>
      <c r="B136" s="13"/>
      <c r="C136" s="13"/>
      <c r="D136" s="14"/>
      <c r="E136" s="15"/>
      <c r="F136" s="16"/>
      <c r="G136" s="16"/>
      <c r="H136" s="16"/>
      <c r="I136" s="16"/>
      <c r="J136" s="16"/>
      <c r="K136" s="15"/>
      <c r="L136" s="17" t="str">
        <f aca="false">IF(OR($D136="",$F136=0),"",$E136/$F136)</f>
        <v/>
      </c>
      <c r="M136" s="18" t="str">
        <f aca="false">IF(OR($D136="",$F136=0),"",$G136/$F136)</f>
        <v/>
      </c>
      <c r="N136" s="18" t="str">
        <f aca="false">IF(OR($D136="",$F136=0),"",$H136/$F136)</f>
        <v/>
      </c>
      <c r="O136" s="17" t="str">
        <f aca="false">IF(OR($D136="",$H136=0),"",$E136/$H136)</f>
        <v/>
      </c>
      <c r="P136" s="17" t="str">
        <f aca="false">IF(OR($D136="",$J136=0),"",($E136+$K136)/$J136)</f>
        <v/>
      </c>
      <c r="Q136" s="20"/>
    </row>
    <row r="137" customFormat="false" ht="15" hidden="false" customHeight="false" outlineLevel="0" collapsed="false">
      <c r="A137" s="13"/>
      <c r="B137" s="13"/>
      <c r="C137" s="13"/>
      <c r="D137" s="14"/>
      <c r="E137" s="15"/>
      <c r="F137" s="16"/>
      <c r="G137" s="16"/>
      <c r="H137" s="16"/>
      <c r="I137" s="16"/>
      <c r="J137" s="16"/>
      <c r="K137" s="15"/>
      <c r="L137" s="17" t="str">
        <f aca="false">IF(OR($D137="",$F137=0),"",$E137/$F137)</f>
        <v/>
      </c>
      <c r="M137" s="18" t="str">
        <f aca="false">IF(OR($D137="",$F137=0),"",$G137/$F137)</f>
        <v/>
      </c>
      <c r="N137" s="18" t="str">
        <f aca="false">IF(OR($D137="",$F137=0),"",$H137/$F137)</f>
        <v/>
      </c>
      <c r="O137" s="17" t="str">
        <f aca="false">IF(OR($D137="",$H137=0),"",$E137/$H137)</f>
        <v/>
      </c>
      <c r="P137" s="17" t="str">
        <f aca="false">IF(OR($D137="",$J137=0),"",($E137+$K137)/$J137)</f>
        <v/>
      </c>
      <c r="Q137" s="20"/>
    </row>
    <row r="138" customFormat="false" ht="15" hidden="false" customHeight="false" outlineLevel="0" collapsed="false">
      <c r="A138" s="13"/>
      <c r="B138" s="13"/>
      <c r="C138" s="13"/>
      <c r="D138" s="14"/>
      <c r="E138" s="15"/>
      <c r="F138" s="16"/>
      <c r="G138" s="16"/>
      <c r="H138" s="16"/>
      <c r="I138" s="16"/>
      <c r="J138" s="16"/>
      <c r="K138" s="15"/>
      <c r="L138" s="17" t="str">
        <f aca="false">IF(OR($D138="",$F138=0),"",$E138/$F138)</f>
        <v/>
      </c>
      <c r="M138" s="18" t="str">
        <f aca="false">IF(OR($D138="",$F138=0),"",$G138/$F138)</f>
        <v/>
      </c>
      <c r="N138" s="18" t="str">
        <f aca="false">IF(OR($D138="",$F138=0),"",$H138/$F138)</f>
        <v/>
      </c>
      <c r="O138" s="17" t="str">
        <f aca="false">IF(OR($D138="",$H138=0),"",$E138/$H138)</f>
        <v/>
      </c>
      <c r="P138" s="17" t="str">
        <f aca="false">IF(OR($D138="",$J138=0),"",($E138+$K138)/$J138)</f>
        <v/>
      </c>
      <c r="Q138" s="20"/>
    </row>
    <row r="139" customFormat="false" ht="15" hidden="false" customHeight="false" outlineLevel="0" collapsed="false">
      <c r="A139" s="13"/>
      <c r="B139" s="13"/>
      <c r="C139" s="13"/>
      <c r="D139" s="14"/>
      <c r="E139" s="15"/>
      <c r="F139" s="16"/>
      <c r="G139" s="16"/>
      <c r="H139" s="16"/>
      <c r="I139" s="16"/>
      <c r="J139" s="16"/>
      <c r="K139" s="15"/>
      <c r="L139" s="17" t="str">
        <f aca="false">IF(OR($D139="",$F139=0),"",$E139/$F139)</f>
        <v/>
      </c>
      <c r="M139" s="18" t="str">
        <f aca="false">IF(OR($D139="",$F139=0),"",$G139/$F139)</f>
        <v/>
      </c>
      <c r="N139" s="18" t="str">
        <f aca="false">IF(OR($D139="",$F139=0),"",$H139/$F139)</f>
        <v/>
      </c>
      <c r="O139" s="17" t="str">
        <f aca="false">IF(OR($D139="",$H139=0),"",$E139/$H139)</f>
        <v/>
      </c>
      <c r="P139" s="17" t="str">
        <f aca="false">IF(OR($D139="",$J139=0),"",($E139+$K139)/$J139)</f>
        <v/>
      </c>
      <c r="Q139" s="20"/>
    </row>
    <row r="140" customFormat="false" ht="15" hidden="false" customHeight="false" outlineLevel="0" collapsed="false">
      <c r="A140" s="13"/>
      <c r="B140" s="13"/>
      <c r="C140" s="13"/>
      <c r="D140" s="14"/>
      <c r="E140" s="15"/>
      <c r="F140" s="16"/>
      <c r="G140" s="16"/>
      <c r="H140" s="16"/>
      <c r="I140" s="16"/>
      <c r="J140" s="16"/>
      <c r="K140" s="15"/>
      <c r="L140" s="17" t="str">
        <f aca="false">IF(OR($D140="",$F140=0),"",$E140/$F140)</f>
        <v/>
      </c>
      <c r="M140" s="18" t="str">
        <f aca="false">IF(OR($D140="",$F140=0),"",$G140/$F140)</f>
        <v/>
      </c>
      <c r="N140" s="18" t="str">
        <f aca="false">IF(OR($D140="",$F140=0),"",$H140/$F140)</f>
        <v/>
      </c>
      <c r="O140" s="17" t="str">
        <f aca="false">IF(OR($D140="",$H140=0),"",$E140/$H140)</f>
        <v/>
      </c>
      <c r="P140" s="17" t="str">
        <f aca="false">IF(OR($D140="",$J140=0),"",($E140+$K140)/$J140)</f>
        <v/>
      </c>
      <c r="Q140" s="20"/>
    </row>
    <row r="141" customFormat="false" ht="15" hidden="false" customHeight="false" outlineLevel="0" collapsed="false">
      <c r="A141" s="13"/>
      <c r="B141" s="13"/>
      <c r="C141" s="13"/>
      <c r="D141" s="14"/>
      <c r="E141" s="15"/>
      <c r="F141" s="16"/>
      <c r="G141" s="16"/>
      <c r="H141" s="16"/>
      <c r="I141" s="16"/>
      <c r="J141" s="16"/>
      <c r="K141" s="15"/>
      <c r="L141" s="17" t="str">
        <f aca="false">IF(OR($D141="",$F141=0),"",$E141/$F141)</f>
        <v/>
      </c>
      <c r="M141" s="18" t="str">
        <f aca="false">IF(OR($D141="",$F141=0),"",$G141/$F141)</f>
        <v/>
      </c>
      <c r="N141" s="18" t="str">
        <f aca="false">IF(OR($D141="",$F141=0),"",$H141/$F141)</f>
        <v/>
      </c>
      <c r="O141" s="17" t="str">
        <f aca="false">IF(OR($D141="",$H141=0),"",$E141/$H141)</f>
        <v/>
      </c>
      <c r="P141" s="17" t="str">
        <f aca="false">IF(OR($D141="",$J141=0),"",($E141+$K141)/$J141)</f>
        <v/>
      </c>
      <c r="Q141" s="20"/>
    </row>
    <row r="142" customFormat="false" ht="15" hidden="false" customHeight="false" outlineLevel="0" collapsed="false">
      <c r="A142" s="13"/>
      <c r="B142" s="13"/>
      <c r="C142" s="13"/>
      <c r="D142" s="14"/>
      <c r="E142" s="15"/>
      <c r="F142" s="16"/>
      <c r="G142" s="16"/>
      <c r="H142" s="16"/>
      <c r="I142" s="16"/>
      <c r="J142" s="16"/>
      <c r="K142" s="15"/>
      <c r="L142" s="17" t="str">
        <f aca="false">IF(OR($D142="",$F142=0),"",$E142/$F142)</f>
        <v/>
      </c>
      <c r="M142" s="18" t="str">
        <f aca="false">IF(OR($D142="",$F142=0),"",$G142/$F142)</f>
        <v/>
      </c>
      <c r="N142" s="18" t="str">
        <f aca="false">IF(OR($D142="",$F142=0),"",$H142/$F142)</f>
        <v/>
      </c>
      <c r="O142" s="17" t="str">
        <f aca="false">IF(OR($D142="",$H142=0),"",$E142/$H142)</f>
        <v/>
      </c>
      <c r="P142" s="17" t="str">
        <f aca="false">IF(OR($D142="",$J142=0),"",($E142+$K142)/$J142)</f>
        <v/>
      </c>
      <c r="Q142" s="20"/>
    </row>
    <row r="143" customFormat="false" ht="15" hidden="false" customHeight="false" outlineLevel="0" collapsed="false">
      <c r="A143" s="13"/>
      <c r="B143" s="13"/>
      <c r="C143" s="13"/>
      <c r="D143" s="14"/>
      <c r="E143" s="15"/>
      <c r="F143" s="16"/>
      <c r="G143" s="16"/>
      <c r="H143" s="16"/>
      <c r="I143" s="16"/>
      <c r="J143" s="16"/>
      <c r="K143" s="15"/>
      <c r="L143" s="17" t="str">
        <f aca="false">IF(OR($D143="",$F143=0),"",$E143/$F143)</f>
        <v/>
      </c>
      <c r="M143" s="18" t="str">
        <f aca="false">IF(OR($D143="",$F143=0),"",$G143/$F143)</f>
        <v/>
      </c>
      <c r="N143" s="18" t="str">
        <f aca="false">IF(OR($D143="",$F143=0),"",$H143/$F143)</f>
        <v/>
      </c>
      <c r="O143" s="17" t="str">
        <f aca="false">IF(OR($D143="",$H143=0),"",$E143/$H143)</f>
        <v/>
      </c>
      <c r="P143" s="17" t="str">
        <f aca="false">IF(OR($D143="",$J143=0),"",($E143+$K143)/$J143)</f>
        <v/>
      </c>
      <c r="Q143" s="20"/>
    </row>
    <row r="144" customFormat="false" ht="15" hidden="false" customHeight="false" outlineLevel="0" collapsed="false">
      <c r="A144" s="13"/>
      <c r="B144" s="13"/>
      <c r="C144" s="13"/>
      <c r="D144" s="14"/>
      <c r="E144" s="15"/>
      <c r="F144" s="16"/>
      <c r="G144" s="16"/>
      <c r="H144" s="16"/>
      <c r="I144" s="16"/>
      <c r="J144" s="16"/>
      <c r="K144" s="15"/>
      <c r="L144" s="17" t="str">
        <f aca="false">IF(OR($D144="",$F144=0),"",$E144/$F144)</f>
        <v/>
      </c>
      <c r="M144" s="18" t="str">
        <f aca="false">IF(OR($D144="",$F144=0),"",$G144/$F144)</f>
        <v/>
      </c>
      <c r="N144" s="18" t="str">
        <f aca="false">IF(OR($D144="",$F144=0),"",$H144/$F144)</f>
        <v/>
      </c>
      <c r="O144" s="17" t="str">
        <f aca="false">IF(OR($D144="",$H144=0),"",$E144/$H144)</f>
        <v/>
      </c>
      <c r="P144" s="17" t="str">
        <f aca="false">IF(OR($D144="",$J144=0),"",($E144+$K144)/$J144)</f>
        <v/>
      </c>
      <c r="Q144" s="20"/>
    </row>
    <row r="145" customFormat="false" ht="15" hidden="false" customHeight="false" outlineLevel="0" collapsed="false">
      <c r="A145" s="13"/>
      <c r="B145" s="13"/>
      <c r="C145" s="13"/>
      <c r="D145" s="14"/>
      <c r="E145" s="15"/>
      <c r="F145" s="16"/>
      <c r="G145" s="16"/>
      <c r="H145" s="16"/>
      <c r="I145" s="16"/>
      <c r="J145" s="16"/>
      <c r="K145" s="15"/>
      <c r="L145" s="17" t="str">
        <f aca="false">IF(OR($D145="",$F145=0),"",$E145/$F145)</f>
        <v/>
      </c>
      <c r="M145" s="18" t="str">
        <f aca="false">IF(OR($D145="",$F145=0),"",$G145/$F145)</f>
        <v/>
      </c>
      <c r="N145" s="18" t="str">
        <f aca="false">IF(OR($D145="",$F145=0),"",$H145/$F145)</f>
        <v/>
      </c>
      <c r="O145" s="17" t="str">
        <f aca="false">IF(OR($D145="",$H145=0),"",$E145/$H145)</f>
        <v/>
      </c>
      <c r="P145" s="17" t="str">
        <f aca="false">IF(OR($D145="",$J145=0),"",($E145+$K145)/$J145)</f>
        <v/>
      </c>
      <c r="Q145" s="20"/>
    </row>
    <row r="146" customFormat="false" ht="15" hidden="false" customHeight="false" outlineLevel="0" collapsed="false">
      <c r="A146" s="13"/>
      <c r="B146" s="13"/>
      <c r="C146" s="13"/>
      <c r="D146" s="14"/>
      <c r="E146" s="15"/>
      <c r="F146" s="16"/>
      <c r="G146" s="16"/>
      <c r="H146" s="16"/>
      <c r="I146" s="16"/>
      <c r="J146" s="16"/>
      <c r="K146" s="15"/>
      <c r="L146" s="17" t="str">
        <f aca="false">IF(OR($D146="",$F146=0),"",$E146/$F146)</f>
        <v/>
      </c>
      <c r="M146" s="18" t="str">
        <f aca="false">IF(OR($D146="",$F146=0),"",$G146/$F146)</f>
        <v/>
      </c>
      <c r="N146" s="18" t="str">
        <f aca="false">IF(OR($D146="",$F146=0),"",$H146/$F146)</f>
        <v/>
      </c>
      <c r="O146" s="17" t="str">
        <f aca="false">IF(OR($D146="",$H146=0),"",$E146/$H146)</f>
        <v/>
      </c>
      <c r="P146" s="17" t="str">
        <f aca="false">IF(OR($D146="",$J146=0),"",($E146+$K146)/$J146)</f>
        <v/>
      </c>
      <c r="Q146" s="20"/>
    </row>
    <row r="147" customFormat="false" ht="15" hidden="false" customHeight="false" outlineLevel="0" collapsed="false">
      <c r="A147" s="13"/>
      <c r="B147" s="13"/>
      <c r="C147" s="13"/>
      <c r="D147" s="14"/>
      <c r="E147" s="15"/>
      <c r="F147" s="16"/>
      <c r="G147" s="16"/>
      <c r="H147" s="16"/>
      <c r="I147" s="16"/>
      <c r="J147" s="16"/>
      <c r="K147" s="15"/>
      <c r="L147" s="17" t="str">
        <f aca="false">IF(OR($D147="",$F147=0),"",$E147/$F147)</f>
        <v/>
      </c>
      <c r="M147" s="18" t="str">
        <f aca="false">IF(OR($D147="",$F147=0),"",$G147/$F147)</f>
        <v/>
      </c>
      <c r="N147" s="18" t="str">
        <f aca="false">IF(OR($D147="",$F147=0),"",$H147/$F147)</f>
        <v/>
      </c>
      <c r="O147" s="17" t="str">
        <f aca="false">IF(OR($D147="",$H147=0),"",$E147/$H147)</f>
        <v/>
      </c>
      <c r="P147" s="17" t="str">
        <f aca="false">IF(OR($D147="",$J147=0),"",($E147+$K147)/$J147)</f>
        <v/>
      </c>
      <c r="Q147" s="20"/>
    </row>
    <row r="148" customFormat="false" ht="15" hidden="false" customHeight="false" outlineLevel="0" collapsed="false">
      <c r="A148" s="13"/>
      <c r="B148" s="13"/>
      <c r="C148" s="13"/>
      <c r="D148" s="14"/>
      <c r="E148" s="15"/>
      <c r="F148" s="16"/>
      <c r="G148" s="16"/>
      <c r="H148" s="16"/>
      <c r="I148" s="16"/>
      <c r="J148" s="16"/>
      <c r="K148" s="15"/>
      <c r="L148" s="17" t="str">
        <f aca="false">IF(OR($D148="",$F148=0),"",$E148/$F148)</f>
        <v/>
      </c>
      <c r="M148" s="18" t="str">
        <f aca="false">IF(OR($D148="",$F148=0),"",$G148/$F148)</f>
        <v/>
      </c>
      <c r="N148" s="18" t="str">
        <f aca="false">IF(OR($D148="",$F148=0),"",$H148/$F148)</f>
        <v/>
      </c>
      <c r="O148" s="17" t="str">
        <f aca="false">IF(OR($D148="",$H148=0),"",$E148/$H148)</f>
        <v/>
      </c>
      <c r="P148" s="17" t="str">
        <f aca="false">IF(OR($D148="",$J148=0),"",($E148+$K148)/$J148)</f>
        <v/>
      </c>
      <c r="Q148" s="20"/>
    </row>
    <row r="149" customFormat="false" ht="15" hidden="false" customHeight="false" outlineLevel="0" collapsed="false">
      <c r="A149" s="13"/>
      <c r="B149" s="13"/>
      <c r="C149" s="13"/>
      <c r="D149" s="14"/>
      <c r="E149" s="15"/>
      <c r="F149" s="16"/>
      <c r="G149" s="16"/>
      <c r="H149" s="16"/>
      <c r="I149" s="16"/>
      <c r="J149" s="16"/>
      <c r="K149" s="15"/>
      <c r="L149" s="17" t="str">
        <f aca="false">IF(OR($D149="",$F149=0),"",$E149/$F149)</f>
        <v/>
      </c>
      <c r="M149" s="18" t="str">
        <f aca="false">IF(OR($D149="",$F149=0),"",$G149/$F149)</f>
        <v/>
      </c>
      <c r="N149" s="18" t="str">
        <f aca="false">IF(OR($D149="",$F149=0),"",$H149/$F149)</f>
        <v/>
      </c>
      <c r="O149" s="17" t="str">
        <f aca="false">IF(OR($D149="",$H149=0),"",$E149/$H149)</f>
        <v/>
      </c>
      <c r="P149" s="17" t="str">
        <f aca="false">IF(OR($D149="",$J149=0),"",($E149+$K149)/$J149)</f>
        <v/>
      </c>
      <c r="Q149" s="20"/>
    </row>
    <row r="150" customFormat="false" ht="15" hidden="false" customHeight="false" outlineLevel="0" collapsed="false">
      <c r="A150" s="13"/>
      <c r="B150" s="13"/>
      <c r="C150" s="13"/>
      <c r="D150" s="14"/>
      <c r="E150" s="15"/>
      <c r="F150" s="16"/>
      <c r="G150" s="16"/>
      <c r="H150" s="16"/>
      <c r="I150" s="16"/>
      <c r="J150" s="16"/>
      <c r="K150" s="15"/>
      <c r="L150" s="17" t="str">
        <f aca="false">IF(OR($D150="",$F150=0),"",$E150/$F150)</f>
        <v/>
      </c>
      <c r="M150" s="18" t="str">
        <f aca="false">IF(OR($D150="",$F150=0),"",$G150/$F150)</f>
        <v/>
      </c>
      <c r="N150" s="18" t="str">
        <f aca="false">IF(OR($D150="",$F150=0),"",$H150/$F150)</f>
        <v/>
      </c>
      <c r="O150" s="17" t="str">
        <f aca="false">IF(OR($D150="",$H150=0),"",$E150/$H150)</f>
        <v/>
      </c>
      <c r="P150" s="17" t="str">
        <f aca="false">IF(OR($D150="",$J150=0),"",($E150+$K150)/$J150)</f>
        <v/>
      </c>
      <c r="Q150" s="20"/>
    </row>
    <row r="151" customFormat="false" ht="15" hidden="false" customHeight="false" outlineLevel="0" collapsed="false">
      <c r="A151" s="13"/>
      <c r="B151" s="13"/>
      <c r="C151" s="13"/>
      <c r="D151" s="14"/>
      <c r="E151" s="15"/>
      <c r="F151" s="16"/>
      <c r="G151" s="16"/>
      <c r="H151" s="16"/>
      <c r="I151" s="16"/>
      <c r="J151" s="16"/>
      <c r="K151" s="15"/>
      <c r="L151" s="17" t="str">
        <f aca="false">IF(OR($D151="",$F151=0),"",$E151/$F151)</f>
        <v/>
      </c>
      <c r="M151" s="18" t="str">
        <f aca="false">IF(OR($D151="",$F151=0),"",$G151/$F151)</f>
        <v/>
      </c>
      <c r="N151" s="18" t="str">
        <f aca="false">IF(OR($D151="",$F151=0),"",$H151/$F151)</f>
        <v/>
      </c>
      <c r="O151" s="17" t="str">
        <f aca="false">IF(OR($D151="",$H151=0),"",$E151/$H151)</f>
        <v/>
      </c>
      <c r="P151" s="17" t="str">
        <f aca="false">IF(OR($D151="",$J151=0),"",($E151+$K151)/$J151)</f>
        <v/>
      </c>
      <c r="Q151" s="20"/>
    </row>
    <row r="152" customFormat="false" ht="15" hidden="false" customHeight="false" outlineLevel="0" collapsed="false">
      <c r="A152" s="13"/>
      <c r="B152" s="13"/>
      <c r="C152" s="13"/>
      <c r="D152" s="14"/>
      <c r="E152" s="15"/>
      <c r="F152" s="16"/>
      <c r="G152" s="16"/>
      <c r="H152" s="16"/>
      <c r="I152" s="16"/>
      <c r="J152" s="16"/>
      <c r="K152" s="15"/>
      <c r="L152" s="17" t="str">
        <f aca="false">IF(OR($D152="",$F152=0),"",$E152/$F152)</f>
        <v/>
      </c>
      <c r="M152" s="18" t="str">
        <f aca="false">IF(OR($D152="",$F152=0),"",$G152/$F152)</f>
        <v/>
      </c>
      <c r="N152" s="18" t="str">
        <f aca="false">IF(OR($D152="",$F152=0),"",$H152/$F152)</f>
        <v/>
      </c>
      <c r="O152" s="17" t="str">
        <f aca="false">IF(OR($D152="",$H152=0),"",$E152/$H152)</f>
        <v/>
      </c>
      <c r="P152" s="17" t="str">
        <f aca="false">IF(OR($D152="",$J152=0),"",($E152+$K152)/$J152)</f>
        <v/>
      </c>
      <c r="Q152" s="20"/>
    </row>
    <row r="153" customFormat="false" ht="15" hidden="false" customHeight="false" outlineLevel="0" collapsed="false">
      <c r="A153" s="13"/>
      <c r="B153" s="13"/>
      <c r="C153" s="13"/>
      <c r="D153" s="14"/>
      <c r="E153" s="15"/>
      <c r="F153" s="16"/>
      <c r="G153" s="16"/>
      <c r="H153" s="16"/>
      <c r="I153" s="16"/>
      <c r="J153" s="16"/>
      <c r="K153" s="15"/>
      <c r="L153" s="17" t="str">
        <f aca="false">IF(OR($D153="",$F153=0),"",$E153/$F153)</f>
        <v/>
      </c>
      <c r="M153" s="18" t="str">
        <f aca="false">IF(OR($D153="",$F153=0),"",$G153/$F153)</f>
        <v/>
      </c>
      <c r="N153" s="18" t="str">
        <f aca="false">IF(OR($D153="",$F153=0),"",$H153/$F153)</f>
        <v/>
      </c>
      <c r="O153" s="17" t="str">
        <f aca="false">IF(OR($D153="",$H153=0),"",$E153/$H153)</f>
        <v/>
      </c>
      <c r="P153" s="17" t="str">
        <f aca="false">IF(OR($D153="",$J153=0),"",($E153+$K153)/$J153)</f>
        <v/>
      </c>
      <c r="Q153" s="20"/>
    </row>
    <row r="154" customFormat="false" ht="15" hidden="false" customHeight="false" outlineLevel="0" collapsed="false">
      <c r="A154" s="13"/>
      <c r="B154" s="13"/>
      <c r="C154" s="13"/>
      <c r="D154" s="14"/>
      <c r="E154" s="15"/>
      <c r="F154" s="16"/>
      <c r="G154" s="16"/>
      <c r="H154" s="16"/>
      <c r="I154" s="16"/>
      <c r="J154" s="16"/>
      <c r="K154" s="15"/>
      <c r="L154" s="17" t="str">
        <f aca="false">IF(OR($D154="",$F154=0),"",$E154/$F154)</f>
        <v/>
      </c>
      <c r="M154" s="18" t="str">
        <f aca="false">IF(OR($D154="",$F154=0),"",$G154/$F154)</f>
        <v/>
      </c>
      <c r="N154" s="18" t="str">
        <f aca="false">IF(OR($D154="",$F154=0),"",$H154/$F154)</f>
        <v/>
      </c>
      <c r="O154" s="17" t="str">
        <f aca="false">IF(OR($D154="",$H154=0),"",$E154/$H154)</f>
        <v/>
      </c>
      <c r="P154" s="17" t="str">
        <f aca="false">IF(OR($D154="",$J154=0),"",($E154+$K154)/$J154)</f>
        <v/>
      </c>
      <c r="Q154" s="20"/>
    </row>
    <row r="155" customFormat="false" ht="15" hidden="false" customHeight="false" outlineLevel="0" collapsed="false">
      <c r="A155" s="13"/>
      <c r="B155" s="13"/>
      <c r="C155" s="13"/>
      <c r="D155" s="14"/>
      <c r="E155" s="15"/>
      <c r="F155" s="16"/>
      <c r="G155" s="16"/>
      <c r="H155" s="16"/>
      <c r="I155" s="16"/>
      <c r="J155" s="16"/>
      <c r="K155" s="15"/>
      <c r="L155" s="17" t="str">
        <f aca="false">IF(OR($D155="",$F155=0),"",$E155/$F155)</f>
        <v/>
      </c>
      <c r="M155" s="18" t="str">
        <f aca="false">IF(OR($D155="",$F155=0),"",$G155/$F155)</f>
        <v/>
      </c>
      <c r="N155" s="18" t="str">
        <f aca="false">IF(OR($D155="",$F155=0),"",$H155/$F155)</f>
        <v/>
      </c>
      <c r="O155" s="17" t="str">
        <f aca="false">IF(OR($D155="",$H155=0),"",$E155/$H155)</f>
        <v/>
      </c>
      <c r="P155" s="17" t="str">
        <f aca="false">IF(OR($D155="",$J155=0),"",($E155+$K155)/$J155)</f>
        <v/>
      </c>
      <c r="Q155" s="20"/>
    </row>
    <row r="156" customFormat="false" ht="15" hidden="false" customHeight="false" outlineLevel="0" collapsed="false">
      <c r="A156" s="13"/>
      <c r="B156" s="13"/>
      <c r="C156" s="13"/>
      <c r="D156" s="14"/>
      <c r="E156" s="15"/>
      <c r="F156" s="16"/>
      <c r="G156" s="16"/>
      <c r="H156" s="16"/>
      <c r="I156" s="16"/>
      <c r="J156" s="16"/>
      <c r="K156" s="15"/>
      <c r="L156" s="17" t="str">
        <f aca="false">IF(OR($D156="",$F156=0),"",$E156/$F156)</f>
        <v/>
      </c>
      <c r="M156" s="18" t="str">
        <f aca="false">IF(OR($D156="",$F156=0),"",$G156/$F156)</f>
        <v/>
      </c>
      <c r="N156" s="18" t="str">
        <f aca="false">IF(OR($D156="",$F156=0),"",$H156/$F156)</f>
        <v/>
      </c>
      <c r="O156" s="17" t="str">
        <f aca="false">IF(OR($D156="",$H156=0),"",$E156/$H156)</f>
        <v/>
      </c>
      <c r="P156" s="17" t="str">
        <f aca="false">IF(OR($D156="",$J156=0),"",($E156+$K156)/$J156)</f>
        <v/>
      </c>
      <c r="Q156" s="20"/>
    </row>
    <row r="157" customFormat="false" ht="15" hidden="false" customHeight="false" outlineLevel="0" collapsed="false">
      <c r="A157" s="13"/>
      <c r="B157" s="13"/>
      <c r="C157" s="13"/>
      <c r="D157" s="14"/>
      <c r="E157" s="15"/>
      <c r="F157" s="16"/>
      <c r="G157" s="16"/>
      <c r="H157" s="16"/>
      <c r="I157" s="16"/>
      <c r="J157" s="16"/>
      <c r="K157" s="15"/>
      <c r="L157" s="17" t="str">
        <f aca="false">IF(OR($D157="",$F157=0),"",$E157/$F157)</f>
        <v/>
      </c>
      <c r="M157" s="18" t="str">
        <f aca="false">IF(OR($D157="",$F157=0),"",$G157/$F157)</f>
        <v/>
      </c>
      <c r="N157" s="18" t="str">
        <f aca="false">IF(OR($D157="",$F157=0),"",$H157/$F157)</f>
        <v/>
      </c>
      <c r="O157" s="17" t="str">
        <f aca="false">IF(OR($D157="",$H157=0),"",$E157/$H157)</f>
        <v/>
      </c>
      <c r="P157" s="17" t="str">
        <f aca="false">IF(OR($D157="",$J157=0),"",($E157+$K157)/$J157)</f>
        <v/>
      </c>
      <c r="Q157" s="20"/>
    </row>
    <row r="158" customFormat="false" ht="15" hidden="false" customHeight="false" outlineLevel="0" collapsed="false">
      <c r="A158" s="13"/>
      <c r="B158" s="13"/>
      <c r="C158" s="13"/>
      <c r="D158" s="14"/>
      <c r="E158" s="15"/>
      <c r="F158" s="16"/>
      <c r="G158" s="16"/>
      <c r="H158" s="16"/>
      <c r="I158" s="16"/>
      <c r="J158" s="16"/>
      <c r="K158" s="15"/>
      <c r="L158" s="17" t="str">
        <f aca="false">IF(OR($D158="",$F158=0),"",$E158/$F158)</f>
        <v/>
      </c>
      <c r="M158" s="18" t="str">
        <f aca="false">IF(OR($D158="",$F158=0),"",$G158/$F158)</f>
        <v/>
      </c>
      <c r="N158" s="18" t="str">
        <f aca="false">IF(OR($D158="",$F158=0),"",$H158/$F158)</f>
        <v/>
      </c>
      <c r="O158" s="17" t="str">
        <f aca="false">IF(OR($D158="",$H158=0),"",$E158/$H158)</f>
        <v/>
      </c>
      <c r="P158" s="17" t="str">
        <f aca="false">IF(OR($D158="",$J158=0),"",($E158+$K158)/$J158)</f>
        <v/>
      </c>
      <c r="Q158" s="20"/>
    </row>
    <row r="159" customFormat="false" ht="15" hidden="false" customHeight="false" outlineLevel="0" collapsed="false">
      <c r="A159" s="13"/>
      <c r="B159" s="13"/>
      <c r="C159" s="13"/>
      <c r="D159" s="14"/>
      <c r="E159" s="15"/>
      <c r="F159" s="16"/>
      <c r="G159" s="16"/>
      <c r="H159" s="16"/>
      <c r="I159" s="16"/>
      <c r="J159" s="16"/>
      <c r="K159" s="15"/>
      <c r="L159" s="17" t="str">
        <f aca="false">IF(OR($D159="",$F159=0),"",$E159/$F159)</f>
        <v/>
      </c>
      <c r="M159" s="18" t="str">
        <f aca="false">IF(OR($D159="",$F159=0),"",$G159/$F159)</f>
        <v/>
      </c>
      <c r="N159" s="18" t="str">
        <f aca="false">IF(OR($D159="",$F159=0),"",$H159/$F159)</f>
        <v/>
      </c>
      <c r="O159" s="17" t="str">
        <f aca="false">IF(OR($D159="",$H159=0),"",$E159/$H159)</f>
        <v/>
      </c>
      <c r="P159" s="17" t="str">
        <f aca="false">IF(OR($D159="",$J159=0),"",($E159+$K159)/$J159)</f>
        <v/>
      </c>
      <c r="Q159" s="20"/>
    </row>
    <row r="160" customFormat="false" ht="15" hidden="false" customHeight="false" outlineLevel="0" collapsed="false">
      <c r="A160" s="13"/>
      <c r="B160" s="13"/>
      <c r="C160" s="13"/>
      <c r="D160" s="14"/>
      <c r="E160" s="15"/>
      <c r="F160" s="16"/>
      <c r="G160" s="16"/>
      <c r="H160" s="16"/>
      <c r="I160" s="16"/>
      <c r="J160" s="16"/>
      <c r="K160" s="15"/>
      <c r="L160" s="17" t="str">
        <f aca="false">IF(OR($D160="",$F160=0),"",$E160/$F160)</f>
        <v/>
      </c>
      <c r="M160" s="18" t="str">
        <f aca="false">IF(OR($D160="",$F160=0),"",$G160/$F160)</f>
        <v/>
      </c>
      <c r="N160" s="18" t="str">
        <f aca="false">IF(OR($D160="",$F160=0),"",$H160/$F160)</f>
        <v/>
      </c>
      <c r="O160" s="17" t="str">
        <f aca="false">IF(OR($D160="",$H160=0),"",$E160/$H160)</f>
        <v/>
      </c>
      <c r="P160" s="17" t="str">
        <f aca="false">IF(OR($D160="",$J160=0),"",($E160+$K160)/$J160)</f>
        <v/>
      </c>
      <c r="Q160" s="20"/>
    </row>
    <row r="161" customFormat="false" ht="15" hidden="false" customHeight="false" outlineLevel="0" collapsed="false">
      <c r="A161" s="13"/>
      <c r="B161" s="13"/>
      <c r="C161" s="13"/>
      <c r="D161" s="14"/>
      <c r="E161" s="15"/>
      <c r="F161" s="16"/>
      <c r="G161" s="16"/>
      <c r="H161" s="16"/>
      <c r="I161" s="16"/>
      <c r="J161" s="16"/>
      <c r="K161" s="15"/>
      <c r="L161" s="17" t="str">
        <f aca="false">IF(OR($D161="",$F161=0),"",$E161/$F161)</f>
        <v/>
      </c>
      <c r="M161" s="18" t="str">
        <f aca="false">IF(OR($D161="",$F161=0),"",$G161/$F161)</f>
        <v/>
      </c>
      <c r="N161" s="18" t="str">
        <f aca="false">IF(OR($D161="",$F161=0),"",$H161/$F161)</f>
        <v/>
      </c>
      <c r="O161" s="17" t="str">
        <f aca="false">IF(OR($D161="",$H161=0),"",$E161/$H161)</f>
        <v/>
      </c>
      <c r="P161" s="17" t="str">
        <f aca="false">IF(OR($D161="",$J161=0),"",($E161+$K161)/$J161)</f>
        <v/>
      </c>
      <c r="Q161" s="20"/>
    </row>
    <row r="162" customFormat="false" ht="15" hidden="false" customHeight="false" outlineLevel="0" collapsed="false">
      <c r="A162" s="13"/>
      <c r="B162" s="13"/>
      <c r="C162" s="13"/>
      <c r="D162" s="14"/>
      <c r="E162" s="15"/>
      <c r="F162" s="16"/>
      <c r="G162" s="16"/>
      <c r="H162" s="16"/>
      <c r="I162" s="16"/>
      <c r="J162" s="16"/>
      <c r="K162" s="15"/>
      <c r="L162" s="17" t="str">
        <f aca="false">IF(OR($D162="",$F162=0),"",$E162/$F162)</f>
        <v/>
      </c>
      <c r="M162" s="18" t="str">
        <f aca="false">IF(OR($D162="",$F162=0),"",$G162/$F162)</f>
        <v/>
      </c>
      <c r="N162" s="18" t="str">
        <f aca="false">IF(OR($D162="",$F162=0),"",$H162/$F162)</f>
        <v/>
      </c>
      <c r="O162" s="17" t="str">
        <f aca="false">IF(OR($D162="",$H162=0),"",$E162/$H162)</f>
        <v/>
      </c>
      <c r="P162" s="17" t="str">
        <f aca="false">IF(OR($D162="",$J162=0),"",($E162+$K162)/$J162)</f>
        <v/>
      </c>
      <c r="Q162" s="20"/>
    </row>
    <row r="163" customFormat="false" ht="15" hidden="false" customHeight="false" outlineLevel="0" collapsed="false">
      <c r="A163" s="13"/>
      <c r="B163" s="13"/>
      <c r="C163" s="13"/>
      <c r="D163" s="14"/>
      <c r="E163" s="15"/>
      <c r="F163" s="16"/>
      <c r="G163" s="16"/>
      <c r="H163" s="16"/>
      <c r="I163" s="16"/>
      <c r="J163" s="16"/>
      <c r="K163" s="15"/>
      <c r="L163" s="17" t="str">
        <f aca="false">IF(OR($D163="",$F163=0),"",$E163/$F163)</f>
        <v/>
      </c>
      <c r="M163" s="18" t="str">
        <f aca="false">IF(OR($D163="",$F163=0),"",$G163/$F163)</f>
        <v/>
      </c>
      <c r="N163" s="18" t="str">
        <f aca="false">IF(OR($D163="",$F163=0),"",$H163/$F163)</f>
        <v/>
      </c>
      <c r="O163" s="17" t="str">
        <f aca="false">IF(OR($D163="",$H163=0),"",$E163/$H163)</f>
        <v/>
      </c>
      <c r="P163" s="17" t="str">
        <f aca="false">IF(OR($D163="",$J163=0),"",($E163+$K163)/$J163)</f>
        <v/>
      </c>
      <c r="Q163" s="20"/>
    </row>
    <row r="164" customFormat="false" ht="15" hidden="false" customHeight="false" outlineLevel="0" collapsed="false">
      <c r="A164" s="13"/>
      <c r="B164" s="13"/>
      <c r="C164" s="13"/>
      <c r="D164" s="14"/>
      <c r="E164" s="15"/>
      <c r="F164" s="16"/>
      <c r="G164" s="16"/>
      <c r="H164" s="16"/>
      <c r="I164" s="16"/>
      <c r="J164" s="16"/>
      <c r="K164" s="15"/>
      <c r="L164" s="17" t="str">
        <f aca="false">IF(OR($D164="",$F164=0),"",$E164/$F164)</f>
        <v/>
      </c>
      <c r="M164" s="18" t="str">
        <f aca="false">IF(OR($D164="",$F164=0),"",$G164/$F164)</f>
        <v/>
      </c>
      <c r="N164" s="18" t="str">
        <f aca="false">IF(OR($D164="",$F164=0),"",$H164/$F164)</f>
        <v/>
      </c>
      <c r="O164" s="17" t="str">
        <f aca="false">IF(OR($D164="",$H164=0),"",$E164/$H164)</f>
        <v/>
      </c>
      <c r="P164" s="17" t="str">
        <f aca="false">IF(OR($D164="",$J164=0),"",($E164+$K164)/$J164)</f>
        <v/>
      </c>
      <c r="Q164" s="20"/>
    </row>
    <row r="165" customFormat="false" ht="15" hidden="false" customHeight="false" outlineLevel="0" collapsed="false">
      <c r="A165" s="13"/>
      <c r="B165" s="13"/>
      <c r="C165" s="13"/>
      <c r="D165" s="14"/>
      <c r="E165" s="15"/>
      <c r="F165" s="16"/>
      <c r="G165" s="16"/>
      <c r="H165" s="16"/>
      <c r="I165" s="16"/>
      <c r="J165" s="16"/>
      <c r="K165" s="15"/>
      <c r="L165" s="17" t="str">
        <f aca="false">IF(OR($D165="",$F165=0),"",$E165/$F165)</f>
        <v/>
      </c>
      <c r="M165" s="18" t="str">
        <f aca="false">IF(OR($D165="",$F165=0),"",$G165/$F165)</f>
        <v/>
      </c>
      <c r="N165" s="18" t="str">
        <f aca="false">IF(OR($D165="",$F165=0),"",$H165/$F165)</f>
        <v/>
      </c>
      <c r="O165" s="17" t="str">
        <f aca="false">IF(OR($D165="",$H165=0),"",$E165/$H165)</f>
        <v/>
      </c>
      <c r="P165" s="17" t="str">
        <f aca="false">IF(OR($D165="",$J165=0),"",($E165+$K165)/$J165)</f>
        <v/>
      </c>
      <c r="Q165" s="20"/>
    </row>
    <row r="166" customFormat="false" ht="15" hidden="false" customHeight="false" outlineLevel="0" collapsed="false">
      <c r="A166" s="13"/>
      <c r="B166" s="13"/>
      <c r="C166" s="13"/>
      <c r="D166" s="14"/>
      <c r="E166" s="15"/>
      <c r="F166" s="16"/>
      <c r="G166" s="16"/>
      <c r="H166" s="16"/>
      <c r="I166" s="16"/>
      <c r="J166" s="16"/>
      <c r="K166" s="15"/>
      <c r="L166" s="17" t="str">
        <f aca="false">IF(OR($D166="",$F166=0),"",$E166/$F166)</f>
        <v/>
      </c>
      <c r="M166" s="18" t="str">
        <f aca="false">IF(OR($D166="",$F166=0),"",$G166/$F166)</f>
        <v/>
      </c>
      <c r="N166" s="18" t="str">
        <f aca="false">IF(OR($D166="",$F166=0),"",$H166/$F166)</f>
        <v/>
      </c>
      <c r="O166" s="17" t="str">
        <f aca="false">IF(OR($D166="",$H166=0),"",$E166/$H166)</f>
        <v/>
      </c>
      <c r="P166" s="17" t="str">
        <f aca="false">IF(OR($D166="",$J166=0),"",($E166+$K166)/$J166)</f>
        <v/>
      </c>
      <c r="Q166" s="20"/>
    </row>
    <row r="167" customFormat="false" ht="15" hidden="false" customHeight="false" outlineLevel="0" collapsed="false">
      <c r="A167" s="13"/>
      <c r="B167" s="13"/>
      <c r="C167" s="13"/>
      <c r="D167" s="14"/>
      <c r="E167" s="15"/>
      <c r="F167" s="16"/>
      <c r="G167" s="16"/>
      <c r="H167" s="16"/>
      <c r="I167" s="16"/>
      <c r="J167" s="16"/>
      <c r="K167" s="15"/>
      <c r="L167" s="17" t="str">
        <f aca="false">IF(OR($D167="",$F167=0),"",$E167/$F167)</f>
        <v/>
      </c>
      <c r="M167" s="18" t="str">
        <f aca="false">IF(OR($D167="",$F167=0),"",$G167/$F167)</f>
        <v/>
      </c>
      <c r="N167" s="18" t="str">
        <f aca="false">IF(OR($D167="",$F167=0),"",$H167/$F167)</f>
        <v/>
      </c>
      <c r="O167" s="17" t="str">
        <f aca="false">IF(OR($D167="",$H167=0),"",$E167/$H167)</f>
        <v/>
      </c>
      <c r="P167" s="17" t="str">
        <f aca="false">IF(OR($D167="",$J167=0),"",($E167+$K167)/$J167)</f>
        <v/>
      </c>
      <c r="Q167" s="20"/>
    </row>
    <row r="168" customFormat="false" ht="15" hidden="false" customHeight="false" outlineLevel="0" collapsed="false">
      <c r="A168" s="13"/>
      <c r="B168" s="13"/>
      <c r="C168" s="13"/>
      <c r="D168" s="14"/>
      <c r="E168" s="15"/>
      <c r="F168" s="16"/>
      <c r="G168" s="16"/>
      <c r="H168" s="16"/>
      <c r="I168" s="16"/>
      <c r="J168" s="16"/>
      <c r="K168" s="15"/>
      <c r="L168" s="17" t="str">
        <f aca="false">IF(OR($D168="",$F168=0),"",$E168/$F168)</f>
        <v/>
      </c>
      <c r="M168" s="18" t="str">
        <f aca="false">IF(OR($D168="",$F168=0),"",$G168/$F168)</f>
        <v/>
      </c>
      <c r="N168" s="18" t="str">
        <f aca="false">IF(OR($D168="",$F168=0),"",$H168/$F168)</f>
        <v/>
      </c>
      <c r="O168" s="17" t="str">
        <f aca="false">IF(OR($D168="",$H168=0),"",$E168/$H168)</f>
        <v/>
      </c>
      <c r="P168" s="17" t="str">
        <f aca="false">IF(OR($D168="",$J168=0),"",($E168+$K168)/$J168)</f>
        <v/>
      </c>
      <c r="Q168" s="20"/>
    </row>
    <row r="169" customFormat="false" ht="15" hidden="false" customHeight="false" outlineLevel="0" collapsed="false">
      <c r="A169" s="13"/>
      <c r="B169" s="13"/>
      <c r="C169" s="13"/>
      <c r="D169" s="14"/>
      <c r="E169" s="15"/>
      <c r="F169" s="16"/>
      <c r="G169" s="16"/>
      <c r="H169" s="16"/>
      <c r="I169" s="16"/>
      <c r="J169" s="16"/>
      <c r="K169" s="15"/>
      <c r="L169" s="17" t="str">
        <f aca="false">IF(OR($D169="",$F169=0),"",$E169/$F169)</f>
        <v/>
      </c>
      <c r="M169" s="18" t="str">
        <f aca="false">IF(OR($D169="",$F169=0),"",$G169/$F169)</f>
        <v/>
      </c>
      <c r="N169" s="18" t="str">
        <f aca="false">IF(OR($D169="",$F169=0),"",$H169/$F169)</f>
        <v/>
      </c>
      <c r="O169" s="17" t="str">
        <f aca="false">IF(OR($D169="",$H169=0),"",$E169/$H169)</f>
        <v/>
      </c>
      <c r="P169" s="17" t="str">
        <f aca="false">IF(OR($D169="",$J169=0),"",($E169+$K169)/$J169)</f>
        <v/>
      </c>
      <c r="Q169" s="20"/>
    </row>
    <row r="170" customFormat="false" ht="15" hidden="false" customHeight="false" outlineLevel="0" collapsed="false">
      <c r="A170" s="13"/>
      <c r="B170" s="13"/>
      <c r="C170" s="13"/>
      <c r="D170" s="14"/>
      <c r="E170" s="15"/>
      <c r="F170" s="16"/>
      <c r="G170" s="16"/>
      <c r="H170" s="16"/>
      <c r="I170" s="16"/>
      <c r="J170" s="16"/>
      <c r="K170" s="15"/>
      <c r="L170" s="17" t="str">
        <f aca="false">IF(OR($D170="",$F170=0),"",$E170/$F170)</f>
        <v/>
      </c>
      <c r="M170" s="18" t="str">
        <f aca="false">IF(OR($D170="",$F170=0),"",$G170/$F170)</f>
        <v/>
      </c>
      <c r="N170" s="18" t="str">
        <f aca="false">IF(OR($D170="",$F170=0),"",$H170/$F170)</f>
        <v/>
      </c>
      <c r="O170" s="17" t="str">
        <f aca="false">IF(OR($D170="",$H170=0),"",$E170/$H170)</f>
        <v/>
      </c>
      <c r="P170" s="17" t="str">
        <f aca="false">IF(OR($D170="",$J170=0),"",($E170+$K170)/$J170)</f>
        <v/>
      </c>
      <c r="Q170" s="20"/>
    </row>
    <row r="171" customFormat="false" ht="15" hidden="false" customHeight="false" outlineLevel="0" collapsed="false">
      <c r="A171" s="13"/>
      <c r="B171" s="13"/>
      <c r="C171" s="13"/>
      <c r="D171" s="14"/>
      <c r="E171" s="15"/>
      <c r="F171" s="16"/>
      <c r="G171" s="16"/>
      <c r="H171" s="16"/>
      <c r="I171" s="16"/>
      <c r="J171" s="16"/>
      <c r="K171" s="15"/>
      <c r="L171" s="17" t="str">
        <f aca="false">IF(OR($D171="",$F171=0),"",$E171/$F171)</f>
        <v/>
      </c>
      <c r="M171" s="18" t="str">
        <f aca="false">IF(OR($D171="",$F171=0),"",$G171/$F171)</f>
        <v/>
      </c>
      <c r="N171" s="18" t="str">
        <f aca="false">IF(OR($D171="",$F171=0),"",$H171/$F171)</f>
        <v/>
      </c>
      <c r="O171" s="17" t="str">
        <f aca="false">IF(OR($D171="",$H171=0),"",$E171/$H171)</f>
        <v/>
      </c>
      <c r="P171" s="17" t="str">
        <f aca="false">IF(OR($D171="",$J171=0),"",($E171+$K171)/$J171)</f>
        <v/>
      </c>
      <c r="Q171" s="20"/>
    </row>
    <row r="172" customFormat="false" ht="15" hidden="false" customHeight="false" outlineLevel="0" collapsed="false">
      <c r="A172" s="13"/>
      <c r="B172" s="13"/>
      <c r="C172" s="13"/>
      <c r="D172" s="14"/>
      <c r="E172" s="15"/>
      <c r="F172" s="16"/>
      <c r="G172" s="16"/>
      <c r="H172" s="16"/>
      <c r="I172" s="16"/>
      <c r="J172" s="16"/>
      <c r="K172" s="15"/>
      <c r="L172" s="17" t="str">
        <f aca="false">IF(OR($D172="",$F172=0),"",$E172/$F172)</f>
        <v/>
      </c>
      <c r="M172" s="18" t="str">
        <f aca="false">IF(OR($D172="",$F172=0),"",$G172/$F172)</f>
        <v/>
      </c>
      <c r="N172" s="18" t="str">
        <f aca="false">IF(OR($D172="",$F172=0),"",$H172/$F172)</f>
        <v/>
      </c>
      <c r="O172" s="17" t="str">
        <f aca="false">IF(OR($D172="",$H172=0),"",$E172/$H172)</f>
        <v/>
      </c>
      <c r="P172" s="17" t="str">
        <f aca="false">IF(OR($D172="",$J172=0),"",($E172+$K172)/$J172)</f>
        <v/>
      </c>
      <c r="Q172" s="20"/>
    </row>
    <row r="173" customFormat="false" ht="15" hidden="false" customHeight="false" outlineLevel="0" collapsed="false">
      <c r="A173" s="13"/>
      <c r="B173" s="13"/>
      <c r="C173" s="13"/>
      <c r="D173" s="14"/>
      <c r="E173" s="15"/>
      <c r="F173" s="16"/>
      <c r="G173" s="16"/>
      <c r="H173" s="16"/>
      <c r="I173" s="16"/>
      <c r="J173" s="16"/>
      <c r="K173" s="15"/>
      <c r="L173" s="17" t="str">
        <f aca="false">IF(OR($D173="",$F173=0),"",$E173/$F173)</f>
        <v/>
      </c>
      <c r="M173" s="18" t="str">
        <f aca="false">IF(OR($D173="",$F173=0),"",$G173/$F173)</f>
        <v/>
      </c>
      <c r="N173" s="18" t="str">
        <f aca="false">IF(OR($D173="",$F173=0),"",$H173/$F173)</f>
        <v/>
      </c>
      <c r="O173" s="17" t="str">
        <f aca="false">IF(OR($D173="",$H173=0),"",$E173/$H173)</f>
        <v/>
      </c>
      <c r="P173" s="17" t="str">
        <f aca="false">IF(OR($D173="",$J173=0),"",($E173+$K173)/$J173)</f>
        <v/>
      </c>
      <c r="Q173" s="20"/>
    </row>
    <row r="174" customFormat="false" ht="15" hidden="false" customHeight="false" outlineLevel="0" collapsed="false">
      <c r="A174" s="13"/>
      <c r="B174" s="13"/>
      <c r="C174" s="13"/>
      <c r="D174" s="14"/>
      <c r="E174" s="15"/>
      <c r="F174" s="16"/>
      <c r="G174" s="16"/>
      <c r="H174" s="16"/>
      <c r="I174" s="16"/>
      <c r="J174" s="16"/>
      <c r="K174" s="15"/>
      <c r="L174" s="17" t="str">
        <f aca="false">IF(OR($D174="",$F174=0),"",$E174/$F174)</f>
        <v/>
      </c>
      <c r="M174" s="18" t="str">
        <f aca="false">IF(OR($D174="",$F174=0),"",$G174/$F174)</f>
        <v/>
      </c>
      <c r="N174" s="18" t="str">
        <f aca="false">IF(OR($D174="",$F174=0),"",$H174/$F174)</f>
        <v/>
      </c>
      <c r="O174" s="17" t="str">
        <f aca="false">IF(OR($D174="",$H174=0),"",$E174/$H174)</f>
        <v/>
      </c>
      <c r="P174" s="17" t="str">
        <f aca="false">IF(OR($D174="",$J174=0),"",($E174+$K174)/$J174)</f>
        <v/>
      </c>
      <c r="Q174" s="20"/>
    </row>
    <row r="175" customFormat="false" ht="15" hidden="false" customHeight="false" outlineLevel="0" collapsed="false">
      <c r="A175" s="13"/>
      <c r="B175" s="13"/>
      <c r="C175" s="13"/>
      <c r="D175" s="14"/>
      <c r="E175" s="15"/>
      <c r="F175" s="16"/>
      <c r="G175" s="16"/>
      <c r="H175" s="16"/>
      <c r="I175" s="16"/>
      <c r="J175" s="16"/>
      <c r="K175" s="15"/>
      <c r="L175" s="17" t="str">
        <f aca="false">IF(OR($D175="",$F175=0),"",$E175/$F175)</f>
        <v/>
      </c>
      <c r="M175" s="18" t="str">
        <f aca="false">IF(OR($D175="",$F175=0),"",$G175/$F175)</f>
        <v/>
      </c>
      <c r="N175" s="18" t="str">
        <f aca="false">IF(OR($D175="",$F175=0),"",$H175/$F175)</f>
        <v/>
      </c>
      <c r="O175" s="17" t="str">
        <f aca="false">IF(OR($D175="",$H175=0),"",$E175/$H175)</f>
        <v/>
      </c>
      <c r="P175" s="17" t="str">
        <f aca="false">IF(OR($D175="",$J175=0),"",($E175+$K175)/$J175)</f>
        <v/>
      </c>
      <c r="Q175" s="20"/>
    </row>
    <row r="176" customFormat="false" ht="15" hidden="false" customHeight="false" outlineLevel="0" collapsed="false">
      <c r="A176" s="13"/>
      <c r="B176" s="13"/>
      <c r="C176" s="13"/>
      <c r="D176" s="14"/>
      <c r="E176" s="15"/>
      <c r="F176" s="16"/>
      <c r="G176" s="16"/>
      <c r="H176" s="16"/>
      <c r="I176" s="16"/>
      <c r="J176" s="16"/>
      <c r="K176" s="15"/>
      <c r="L176" s="17" t="str">
        <f aca="false">IF(OR($D176="",$F176=0),"",$E176/$F176)</f>
        <v/>
      </c>
      <c r="M176" s="18" t="str">
        <f aca="false">IF(OR($D176="",$F176=0),"",$G176/$F176)</f>
        <v/>
      </c>
      <c r="N176" s="18" t="str">
        <f aca="false">IF(OR($D176="",$F176=0),"",$H176/$F176)</f>
        <v/>
      </c>
      <c r="O176" s="17" t="str">
        <f aca="false">IF(OR($D176="",$H176=0),"",$E176/$H176)</f>
        <v/>
      </c>
      <c r="P176" s="17" t="str">
        <f aca="false">IF(OR($D176="",$J176=0),"",($E176+$K176)/$J176)</f>
        <v/>
      </c>
      <c r="Q176" s="20"/>
    </row>
    <row r="177" customFormat="false" ht="15" hidden="false" customHeight="false" outlineLevel="0" collapsed="false">
      <c r="A177" s="13"/>
      <c r="B177" s="13"/>
      <c r="C177" s="13"/>
      <c r="D177" s="14"/>
      <c r="E177" s="15"/>
      <c r="F177" s="16"/>
      <c r="G177" s="16"/>
      <c r="H177" s="16"/>
      <c r="I177" s="16"/>
      <c r="J177" s="16"/>
      <c r="K177" s="15"/>
      <c r="L177" s="17" t="str">
        <f aca="false">IF(OR($D177="",$F177=0),"",$E177/$F177)</f>
        <v/>
      </c>
      <c r="M177" s="18" t="str">
        <f aca="false">IF(OR($D177="",$F177=0),"",$G177/$F177)</f>
        <v/>
      </c>
      <c r="N177" s="18" t="str">
        <f aca="false">IF(OR($D177="",$F177=0),"",$H177/$F177)</f>
        <v/>
      </c>
      <c r="O177" s="17" t="str">
        <f aca="false">IF(OR($D177="",$H177=0),"",$E177/$H177)</f>
        <v/>
      </c>
      <c r="P177" s="17" t="str">
        <f aca="false">IF(OR($D177="",$J177=0),"",($E177+$K177)/$J177)</f>
        <v/>
      </c>
      <c r="Q177" s="20"/>
    </row>
    <row r="178" customFormat="false" ht="15" hidden="false" customHeight="false" outlineLevel="0" collapsed="false">
      <c r="A178" s="13"/>
      <c r="B178" s="13"/>
      <c r="C178" s="13"/>
      <c r="D178" s="14"/>
      <c r="E178" s="15"/>
      <c r="F178" s="16"/>
      <c r="G178" s="16"/>
      <c r="H178" s="16"/>
      <c r="I178" s="16"/>
      <c r="J178" s="16"/>
      <c r="K178" s="15"/>
      <c r="L178" s="17" t="str">
        <f aca="false">IF(OR($D178="",$F178=0),"",$E178/$F178)</f>
        <v/>
      </c>
      <c r="M178" s="18" t="str">
        <f aca="false">IF(OR($D178="",$F178=0),"",$G178/$F178)</f>
        <v/>
      </c>
      <c r="N178" s="18" t="str">
        <f aca="false">IF(OR($D178="",$F178=0),"",$H178/$F178)</f>
        <v/>
      </c>
      <c r="O178" s="17" t="str">
        <f aca="false">IF(OR($D178="",$H178=0),"",$E178/$H178)</f>
        <v/>
      </c>
      <c r="P178" s="17" t="str">
        <f aca="false">IF(OR($D178="",$J178=0),"",($E178+$K178)/$J178)</f>
        <v/>
      </c>
      <c r="Q178" s="20"/>
    </row>
    <row r="179" customFormat="false" ht="15" hidden="false" customHeight="false" outlineLevel="0" collapsed="false">
      <c r="A179" s="13"/>
      <c r="B179" s="13"/>
      <c r="C179" s="13"/>
      <c r="D179" s="14"/>
      <c r="E179" s="15"/>
      <c r="F179" s="16"/>
      <c r="G179" s="16"/>
      <c r="H179" s="16"/>
      <c r="I179" s="16"/>
      <c r="J179" s="16"/>
      <c r="K179" s="15"/>
      <c r="L179" s="17" t="str">
        <f aca="false">IF(OR($D179="",$F179=0),"",$E179/$F179)</f>
        <v/>
      </c>
      <c r="M179" s="18" t="str">
        <f aca="false">IF(OR($D179="",$F179=0),"",$G179/$F179)</f>
        <v/>
      </c>
      <c r="N179" s="18" t="str">
        <f aca="false">IF(OR($D179="",$F179=0),"",$H179/$F179)</f>
        <v/>
      </c>
      <c r="O179" s="17" t="str">
        <f aca="false">IF(OR($D179="",$H179=0),"",$E179/$H179)</f>
        <v/>
      </c>
      <c r="P179" s="17" t="str">
        <f aca="false">IF(OR($D179="",$J179=0),"",($E179+$K179)/$J179)</f>
        <v/>
      </c>
      <c r="Q179" s="20"/>
    </row>
    <row r="180" customFormat="false" ht="15" hidden="false" customHeight="false" outlineLevel="0" collapsed="false">
      <c r="A180" s="13"/>
      <c r="B180" s="13"/>
      <c r="C180" s="13"/>
      <c r="D180" s="14"/>
      <c r="E180" s="15"/>
      <c r="F180" s="16"/>
      <c r="G180" s="16"/>
      <c r="H180" s="16"/>
      <c r="I180" s="16"/>
      <c r="J180" s="16"/>
      <c r="K180" s="15"/>
      <c r="L180" s="17" t="str">
        <f aca="false">IF(OR($D180="",$F180=0),"",$E180/$F180)</f>
        <v/>
      </c>
      <c r="M180" s="18" t="str">
        <f aca="false">IF(OR($D180="",$F180=0),"",$G180/$F180)</f>
        <v/>
      </c>
      <c r="N180" s="18" t="str">
        <f aca="false">IF(OR($D180="",$F180=0),"",$H180/$F180)</f>
        <v/>
      </c>
      <c r="O180" s="17" t="str">
        <f aca="false">IF(OR($D180="",$H180=0),"",$E180/$H180)</f>
        <v/>
      </c>
      <c r="P180" s="17" t="str">
        <f aca="false">IF(OR($D180="",$J180=0),"",($E180+$K180)/$J180)</f>
        <v/>
      </c>
      <c r="Q180" s="20"/>
    </row>
    <row r="181" customFormat="false" ht="15" hidden="false" customHeight="false" outlineLevel="0" collapsed="false">
      <c r="A181" s="13"/>
      <c r="B181" s="13"/>
      <c r="C181" s="13"/>
      <c r="D181" s="14"/>
      <c r="E181" s="15"/>
      <c r="F181" s="16"/>
      <c r="G181" s="16"/>
      <c r="H181" s="16"/>
      <c r="I181" s="16"/>
      <c r="J181" s="16"/>
      <c r="K181" s="15"/>
      <c r="L181" s="17" t="str">
        <f aca="false">IF(OR($D181="",$F181=0),"",$E181/$F181)</f>
        <v/>
      </c>
      <c r="M181" s="18" t="str">
        <f aca="false">IF(OR($D181="",$F181=0),"",$G181/$F181)</f>
        <v/>
      </c>
      <c r="N181" s="18" t="str">
        <f aca="false">IF(OR($D181="",$F181=0),"",$H181/$F181)</f>
        <v/>
      </c>
      <c r="O181" s="17" t="str">
        <f aca="false">IF(OR($D181="",$H181=0),"",$E181/$H181)</f>
        <v/>
      </c>
      <c r="P181" s="17" t="str">
        <f aca="false">IF(OR($D181="",$J181=0),"",($E181+$K181)/$J181)</f>
        <v/>
      </c>
      <c r="Q181" s="20"/>
    </row>
    <row r="182" customFormat="false" ht="15" hidden="false" customHeight="false" outlineLevel="0" collapsed="false">
      <c r="A182" s="13"/>
      <c r="B182" s="13"/>
      <c r="C182" s="13"/>
      <c r="D182" s="14"/>
      <c r="E182" s="15"/>
      <c r="F182" s="16"/>
      <c r="G182" s="16"/>
      <c r="H182" s="16"/>
      <c r="I182" s="16"/>
      <c r="J182" s="16"/>
      <c r="K182" s="15"/>
      <c r="L182" s="17" t="str">
        <f aca="false">IF(OR($D182="",$F182=0),"",$E182/$F182)</f>
        <v/>
      </c>
      <c r="M182" s="18" t="str">
        <f aca="false">IF(OR($D182="",$F182=0),"",$G182/$F182)</f>
        <v/>
      </c>
      <c r="N182" s="18" t="str">
        <f aca="false">IF(OR($D182="",$F182=0),"",$H182/$F182)</f>
        <v/>
      </c>
      <c r="O182" s="17" t="str">
        <f aca="false">IF(OR($D182="",$H182=0),"",$E182/$H182)</f>
        <v/>
      </c>
      <c r="P182" s="17" t="str">
        <f aca="false">IF(OR($D182="",$J182=0),"",($E182+$K182)/$J182)</f>
        <v/>
      </c>
      <c r="Q182" s="20"/>
    </row>
    <row r="183" customFormat="false" ht="15" hidden="false" customHeight="false" outlineLevel="0" collapsed="false">
      <c r="A183" s="13"/>
      <c r="B183" s="13"/>
      <c r="C183" s="13"/>
      <c r="D183" s="14"/>
      <c r="E183" s="15"/>
      <c r="F183" s="16"/>
      <c r="G183" s="16"/>
      <c r="H183" s="16"/>
      <c r="I183" s="16"/>
      <c r="J183" s="16"/>
      <c r="K183" s="15"/>
      <c r="L183" s="17" t="str">
        <f aca="false">IF(OR($D183="",$F183=0),"",$E183/$F183)</f>
        <v/>
      </c>
      <c r="M183" s="18" t="str">
        <f aca="false">IF(OR($D183="",$F183=0),"",$G183/$F183)</f>
        <v/>
      </c>
      <c r="N183" s="18" t="str">
        <f aca="false">IF(OR($D183="",$F183=0),"",$H183/$F183)</f>
        <v/>
      </c>
      <c r="O183" s="17" t="str">
        <f aca="false">IF(OR($D183="",$H183=0),"",$E183/$H183)</f>
        <v/>
      </c>
      <c r="P183" s="17" t="str">
        <f aca="false">IF(OR($D183="",$J183=0),"",($E183+$K183)/$J183)</f>
        <v/>
      </c>
      <c r="Q183" s="20"/>
    </row>
    <row r="184" customFormat="false" ht="15" hidden="false" customHeight="false" outlineLevel="0" collapsed="false">
      <c r="A184" s="13"/>
      <c r="B184" s="13"/>
      <c r="C184" s="13"/>
      <c r="D184" s="14"/>
      <c r="E184" s="15"/>
      <c r="F184" s="16"/>
      <c r="G184" s="16"/>
      <c r="H184" s="16"/>
      <c r="I184" s="16"/>
      <c r="J184" s="16"/>
      <c r="K184" s="15"/>
      <c r="L184" s="17" t="str">
        <f aca="false">IF(OR($D184="",$F184=0),"",$E184/$F184)</f>
        <v/>
      </c>
      <c r="M184" s="18" t="str">
        <f aca="false">IF(OR($D184="",$F184=0),"",$G184/$F184)</f>
        <v/>
      </c>
      <c r="N184" s="18" t="str">
        <f aca="false">IF(OR($D184="",$F184=0),"",$H184/$F184)</f>
        <v/>
      </c>
      <c r="O184" s="17" t="str">
        <f aca="false">IF(OR($D184="",$H184=0),"",$E184/$H184)</f>
        <v/>
      </c>
      <c r="P184" s="17" t="str">
        <f aca="false">IF(OR($D184="",$J184=0),"",($E184+$K184)/$J184)</f>
        <v/>
      </c>
      <c r="Q184" s="20"/>
    </row>
    <row r="185" customFormat="false" ht="15" hidden="false" customHeight="false" outlineLevel="0" collapsed="false">
      <c r="A185" s="13"/>
      <c r="B185" s="13"/>
      <c r="C185" s="13"/>
      <c r="D185" s="14"/>
      <c r="E185" s="15"/>
      <c r="F185" s="16"/>
      <c r="G185" s="16"/>
      <c r="H185" s="16"/>
      <c r="I185" s="16"/>
      <c r="J185" s="16"/>
      <c r="K185" s="15"/>
      <c r="L185" s="17" t="str">
        <f aca="false">IF(OR($D185="",$F185=0),"",$E185/$F185)</f>
        <v/>
      </c>
      <c r="M185" s="18" t="str">
        <f aca="false">IF(OR($D185="",$F185=0),"",$G185/$F185)</f>
        <v/>
      </c>
      <c r="N185" s="18" t="str">
        <f aca="false">IF(OR($D185="",$F185=0),"",$H185/$F185)</f>
        <v/>
      </c>
      <c r="O185" s="17" t="str">
        <f aca="false">IF(OR($D185="",$H185=0),"",$E185/$H185)</f>
        <v/>
      </c>
      <c r="P185" s="17" t="str">
        <f aca="false">IF(OR($D185="",$J185=0),"",($E185+$K185)/$J185)</f>
        <v/>
      </c>
      <c r="Q185" s="20"/>
    </row>
    <row r="186" customFormat="false" ht="15" hidden="false" customHeight="false" outlineLevel="0" collapsed="false">
      <c r="A186" s="13"/>
      <c r="B186" s="13"/>
      <c r="C186" s="13"/>
      <c r="D186" s="14"/>
      <c r="E186" s="15"/>
      <c r="F186" s="16"/>
      <c r="G186" s="16"/>
      <c r="H186" s="16"/>
      <c r="I186" s="16"/>
      <c r="J186" s="16"/>
      <c r="K186" s="15"/>
      <c r="L186" s="17" t="str">
        <f aca="false">IF(OR($D186="",$F186=0),"",$E186/$F186)</f>
        <v/>
      </c>
      <c r="M186" s="18" t="str">
        <f aca="false">IF(OR($D186="",$F186=0),"",$G186/$F186)</f>
        <v/>
      </c>
      <c r="N186" s="18" t="str">
        <f aca="false">IF(OR($D186="",$F186=0),"",$H186/$F186)</f>
        <v/>
      </c>
      <c r="O186" s="17" t="str">
        <f aca="false">IF(OR($D186="",$H186=0),"",$E186/$H186)</f>
        <v/>
      </c>
      <c r="P186" s="17" t="str">
        <f aca="false">IF(OR($D186="",$J186=0),"",($E186+$K186)/$J186)</f>
        <v/>
      </c>
      <c r="Q186" s="20"/>
    </row>
    <row r="187" customFormat="false" ht="15" hidden="false" customHeight="false" outlineLevel="0" collapsed="false">
      <c r="A187" s="13"/>
      <c r="B187" s="13"/>
      <c r="C187" s="13"/>
      <c r="D187" s="14"/>
      <c r="E187" s="15"/>
      <c r="F187" s="16"/>
      <c r="G187" s="16"/>
      <c r="H187" s="16"/>
      <c r="I187" s="16"/>
      <c r="J187" s="16"/>
      <c r="K187" s="15"/>
      <c r="L187" s="17" t="str">
        <f aca="false">IF(OR($D187="",$F187=0),"",$E187/$F187)</f>
        <v/>
      </c>
      <c r="M187" s="18" t="str">
        <f aca="false">IF(OR($D187="",$F187=0),"",$G187/$F187)</f>
        <v/>
      </c>
      <c r="N187" s="18" t="str">
        <f aca="false">IF(OR($D187="",$F187=0),"",$H187/$F187)</f>
        <v/>
      </c>
      <c r="O187" s="17" t="str">
        <f aca="false">IF(OR($D187="",$H187=0),"",$E187/$H187)</f>
        <v/>
      </c>
      <c r="P187" s="17" t="str">
        <f aca="false">IF(OR($D187="",$J187=0),"",($E187+$K187)/$J187)</f>
        <v/>
      </c>
      <c r="Q187" s="20"/>
    </row>
    <row r="188" customFormat="false" ht="15" hidden="false" customHeight="false" outlineLevel="0" collapsed="false">
      <c r="A188" s="13"/>
      <c r="B188" s="13"/>
      <c r="C188" s="13"/>
      <c r="D188" s="14"/>
      <c r="E188" s="15"/>
      <c r="F188" s="16"/>
      <c r="G188" s="16"/>
      <c r="H188" s="16"/>
      <c r="I188" s="16"/>
      <c r="J188" s="16"/>
      <c r="K188" s="15"/>
      <c r="L188" s="17" t="str">
        <f aca="false">IF(OR($D188="",$F188=0),"",$E188/$F188)</f>
        <v/>
      </c>
      <c r="M188" s="18" t="str">
        <f aca="false">IF(OR($D188="",$F188=0),"",$G188/$F188)</f>
        <v/>
      </c>
      <c r="N188" s="18" t="str">
        <f aca="false">IF(OR($D188="",$F188=0),"",$H188/$F188)</f>
        <v/>
      </c>
      <c r="O188" s="17" t="str">
        <f aca="false">IF(OR($D188="",$H188=0),"",$E188/$H188)</f>
        <v/>
      </c>
      <c r="P188" s="17" t="str">
        <f aca="false">IF(OR($D188="",$J188=0),"",($E188+$K188)/$J188)</f>
        <v/>
      </c>
      <c r="Q188" s="20"/>
    </row>
    <row r="189" customFormat="false" ht="15" hidden="false" customHeight="false" outlineLevel="0" collapsed="false">
      <c r="A189" s="13"/>
      <c r="B189" s="13"/>
      <c r="C189" s="13"/>
      <c r="D189" s="14"/>
      <c r="E189" s="15"/>
      <c r="F189" s="16"/>
      <c r="G189" s="16"/>
      <c r="H189" s="16"/>
      <c r="I189" s="16"/>
      <c r="J189" s="16"/>
      <c r="K189" s="15"/>
      <c r="L189" s="17" t="str">
        <f aca="false">IF(OR($D189="",$F189=0),"",$E189/$F189)</f>
        <v/>
      </c>
      <c r="M189" s="18" t="str">
        <f aca="false">IF(OR($D189="",$F189=0),"",$G189/$F189)</f>
        <v/>
      </c>
      <c r="N189" s="18" t="str">
        <f aca="false">IF(OR($D189="",$F189=0),"",$H189/$F189)</f>
        <v/>
      </c>
      <c r="O189" s="17" t="str">
        <f aca="false">IF(OR($D189="",$H189=0),"",$E189/$H189)</f>
        <v/>
      </c>
      <c r="P189" s="17" t="str">
        <f aca="false">IF(OR($D189="",$J189=0),"",($E189+$K189)/$J189)</f>
        <v/>
      </c>
      <c r="Q189" s="20"/>
    </row>
    <row r="190" customFormat="false" ht="15" hidden="false" customHeight="false" outlineLevel="0" collapsed="false">
      <c r="A190" s="13"/>
      <c r="B190" s="13"/>
      <c r="C190" s="13"/>
      <c r="D190" s="14"/>
      <c r="E190" s="15"/>
      <c r="F190" s="16"/>
      <c r="G190" s="16"/>
      <c r="H190" s="16"/>
      <c r="I190" s="16"/>
      <c r="J190" s="16"/>
      <c r="K190" s="15"/>
      <c r="L190" s="17" t="str">
        <f aca="false">IF(OR($D190="",$F190=0),"",$E190/$F190)</f>
        <v/>
      </c>
      <c r="M190" s="18" t="str">
        <f aca="false">IF(OR($D190="",$F190=0),"",$G190/$F190)</f>
        <v/>
      </c>
      <c r="N190" s="18" t="str">
        <f aca="false">IF(OR($D190="",$F190=0),"",$H190/$F190)</f>
        <v/>
      </c>
      <c r="O190" s="17" t="str">
        <f aca="false">IF(OR($D190="",$H190=0),"",$E190/$H190)</f>
        <v/>
      </c>
      <c r="P190" s="17" t="str">
        <f aca="false">IF(OR($D190="",$J190=0),"",($E190+$K190)/$J190)</f>
        <v/>
      </c>
      <c r="Q190" s="20"/>
    </row>
    <row r="191" customFormat="false" ht="15" hidden="false" customHeight="false" outlineLevel="0" collapsed="false">
      <c r="A191" s="13"/>
      <c r="B191" s="13"/>
      <c r="C191" s="13"/>
      <c r="D191" s="14"/>
      <c r="E191" s="15"/>
      <c r="F191" s="16"/>
      <c r="G191" s="16"/>
      <c r="H191" s="16"/>
      <c r="I191" s="16"/>
      <c r="J191" s="16"/>
      <c r="K191" s="15"/>
      <c r="L191" s="17" t="str">
        <f aca="false">IF(OR($D191="",$F191=0),"",$E191/$F191)</f>
        <v/>
      </c>
      <c r="M191" s="18" t="str">
        <f aca="false">IF(OR($D191="",$F191=0),"",$G191/$F191)</f>
        <v/>
      </c>
      <c r="N191" s="18" t="str">
        <f aca="false">IF(OR($D191="",$F191=0),"",$H191/$F191)</f>
        <v/>
      </c>
      <c r="O191" s="17" t="str">
        <f aca="false">IF(OR($D191="",$H191=0),"",$E191/$H191)</f>
        <v/>
      </c>
      <c r="P191" s="17" t="str">
        <f aca="false">IF(OR($D191="",$J191=0),"",($E191+$K191)/$J191)</f>
        <v/>
      </c>
      <c r="Q191" s="20"/>
    </row>
    <row r="192" customFormat="false" ht="15" hidden="false" customHeight="false" outlineLevel="0" collapsed="false">
      <c r="A192" s="13"/>
      <c r="B192" s="13"/>
      <c r="C192" s="13"/>
      <c r="D192" s="14"/>
      <c r="E192" s="15"/>
      <c r="F192" s="16"/>
      <c r="G192" s="16"/>
      <c r="H192" s="16"/>
      <c r="I192" s="16"/>
      <c r="J192" s="16"/>
      <c r="K192" s="15"/>
      <c r="L192" s="17" t="str">
        <f aca="false">IF(OR($D192="",$F192=0),"",$E192/$F192)</f>
        <v/>
      </c>
      <c r="M192" s="18" t="str">
        <f aca="false">IF(OR($D192="",$F192=0),"",$G192/$F192)</f>
        <v/>
      </c>
      <c r="N192" s="18" t="str">
        <f aca="false">IF(OR($D192="",$F192=0),"",$H192/$F192)</f>
        <v/>
      </c>
      <c r="O192" s="17" t="str">
        <f aca="false">IF(OR($D192="",$H192=0),"",$E192/$H192)</f>
        <v/>
      </c>
      <c r="P192" s="17" t="str">
        <f aca="false">IF(OR($D192="",$J192=0),"",($E192+$K192)/$J192)</f>
        <v/>
      </c>
      <c r="Q192" s="20"/>
    </row>
    <row r="193" customFormat="false" ht="15" hidden="false" customHeight="false" outlineLevel="0" collapsed="false">
      <c r="A193" s="13"/>
      <c r="B193" s="13"/>
      <c r="C193" s="13"/>
      <c r="D193" s="14"/>
      <c r="E193" s="15"/>
      <c r="F193" s="16"/>
      <c r="G193" s="16"/>
      <c r="H193" s="16"/>
      <c r="I193" s="16"/>
      <c r="J193" s="16"/>
      <c r="K193" s="15"/>
      <c r="L193" s="17" t="str">
        <f aca="false">IF(OR($D193="",$F193=0),"",$E193/$F193)</f>
        <v/>
      </c>
      <c r="M193" s="18" t="str">
        <f aca="false">IF(OR($D193="",$F193=0),"",$G193/$F193)</f>
        <v/>
      </c>
      <c r="N193" s="18" t="str">
        <f aca="false">IF(OR($D193="",$F193=0),"",$H193/$F193)</f>
        <v/>
      </c>
      <c r="O193" s="17" t="str">
        <f aca="false">IF(OR($D193="",$H193=0),"",$E193/$H193)</f>
        <v/>
      </c>
      <c r="P193" s="17" t="str">
        <f aca="false">IF(OR($D193="",$J193=0),"",($E193+$K193)/$J193)</f>
        <v/>
      </c>
      <c r="Q193" s="20"/>
    </row>
    <row r="194" customFormat="false" ht="15" hidden="false" customHeight="false" outlineLevel="0" collapsed="false">
      <c r="A194" s="13"/>
      <c r="B194" s="13"/>
      <c r="C194" s="13"/>
      <c r="D194" s="14"/>
      <c r="E194" s="15"/>
      <c r="F194" s="16"/>
      <c r="G194" s="16"/>
      <c r="H194" s="16"/>
      <c r="I194" s="16"/>
      <c r="J194" s="16"/>
      <c r="K194" s="15"/>
      <c r="L194" s="17" t="str">
        <f aca="false">IF(OR($D194="",$F194=0),"",$E194/$F194)</f>
        <v/>
      </c>
      <c r="M194" s="18" t="str">
        <f aca="false">IF(OR($D194="",$F194=0),"",$G194/$F194)</f>
        <v/>
      </c>
      <c r="N194" s="18" t="str">
        <f aca="false">IF(OR($D194="",$F194=0),"",$H194/$F194)</f>
        <v/>
      </c>
      <c r="O194" s="17" t="str">
        <f aca="false">IF(OR($D194="",$H194=0),"",$E194/$H194)</f>
        <v/>
      </c>
      <c r="P194" s="17" t="str">
        <f aca="false">IF(OR($D194="",$J194=0),"",($E194+$K194)/$J194)</f>
        <v/>
      </c>
      <c r="Q194" s="20"/>
    </row>
    <row r="195" customFormat="false" ht="15" hidden="false" customHeight="false" outlineLevel="0" collapsed="false">
      <c r="A195" s="13"/>
      <c r="B195" s="13"/>
      <c r="C195" s="13"/>
      <c r="D195" s="14"/>
      <c r="E195" s="15"/>
      <c r="F195" s="16"/>
      <c r="G195" s="16"/>
      <c r="H195" s="16"/>
      <c r="I195" s="16"/>
      <c r="J195" s="16"/>
      <c r="K195" s="15"/>
      <c r="L195" s="17" t="str">
        <f aca="false">IF(OR($D195="",$F195=0),"",$E195/$F195)</f>
        <v/>
      </c>
      <c r="M195" s="18" t="str">
        <f aca="false">IF(OR($D195="",$F195=0),"",$G195/$F195)</f>
        <v/>
      </c>
      <c r="N195" s="18" t="str">
        <f aca="false">IF(OR($D195="",$F195=0),"",$H195/$F195)</f>
        <v/>
      </c>
      <c r="O195" s="17" t="str">
        <f aca="false">IF(OR($D195="",$H195=0),"",$E195/$H195)</f>
        <v/>
      </c>
      <c r="P195" s="17" t="str">
        <f aca="false">IF(OR($D195="",$J195=0),"",($E195+$K195)/$J195)</f>
        <v/>
      </c>
      <c r="Q195" s="20"/>
    </row>
    <row r="196" customFormat="false" ht="15" hidden="false" customHeight="false" outlineLevel="0" collapsed="false">
      <c r="A196" s="13"/>
      <c r="B196" s="13"/>
      <c r="C196" s="13"/>
      <c r="D196" s="14"/>
      <c r="E196" s="15"/>
      <c r="F196" s="16"/>
      <c r="G196" s="16"/>
      <c r="H196" s="16"/>
      <c r="I196" s="16"/>
      <c r="J196" s="16"/>
      <c r="K196" s="15"/>
      <c r="L196" s="17" t="str">
        <f aca="false">IF(OR($D196="",$F196=0),"",$E196/$F196)</f>
        <v/>
      </c>
      <c r="M196" s="18" t="str">
        <f aca="false">IF(OR($D196="",$F196=0),"",$G196/$F196)</f>
        <v/>
      </c>
      <c r="N196" s="18" t="str">
        <f aca="false">IF(OR($D196="",$F196=0),"",$H196/$F196)</f>
        <v/>
      </c>
      <c r="O196" s="17" t="str">
        <f aca="false">IF(OR($D196="",$H196=0),"",$E196/$H196)</f>
        <v/>
      </c>
      <c r="P196" s="17" t="str">
        <f aca="false">IF(OR($D196="",$J196=0),"",($E196+$K196)/$J196)</f>
        <v/>
      </c>
      <c r="Q196" s="20"/>
    </row>
    <row r="197" customFormat="false" ht="15" hidden="false" customHeight="false" outlineLevel="0" collapsed="false">
      <c r="A197" s="13"/>
      <c r="B197" s="13"/>
      <c r="C197" s="13"/>
      <c r="D197" s="14"/>
      <c r="E197" s="15"/>
      <c r="F197" s="16"/>
      <c r="G197" s="16"/>
      <c r="H197" s="16"/>
      <c r="I197" s="16"/>
      <c r="J197" s="16"/>
      <c r="K197" s="15"/>
      <c r="L197" s="17" t="str">
        <f aca="false">IF(OR($D197="",$F197=0),"",$E197/$F197)</f>
        <v/>
      </c>
      <c r="M197" s="18" t="str">
        <f aca="false">IF(OR($D197="",$F197=0),"",$G197/$F197)</f>
        <v/>
      </c>
      <c r="N197" s="18" t="str">
        <f aca="false">IF(OR($D197="",$F197=0),"",$H197/$F197)</f>
        <v/>
      </c>
      <c r="O197" s="17" t="str">
        <f aca="false">IF(OR($D197="",$H197=0),"",$E197/$H197)</f>
        <v/>
      </c>
      <c r="P197" s="17" t="str">
        <f aca="false">IF(OR($D197="",$J197=0),"",($E197+$K197)/$J197)</f>
        <v/>
      </c>
      <c r="Q197" s="20"/>
    </row>
    <row r="198" customFormat="false" ht="15" hidden="false" customHeight="false" outlineLevel="0" collapsed="false">
      <c r="A198" s="13"/>
      <c r="B198" s="13"/>
      <c r="C198" s="13"/>
      <c r="D198" s="14"/>
      <c r="E198" s="15"/>
      <c r="F198" s="16"/>
      <c r="G198" s="16"/>
      <c r="H198" s="16"/>
      <c r="I198" s="16"/>
      <c r="J198" s="16"/>
      <c r="K198" s="15"/>
      <c r="L198" s="17" t="str">
        <f aca="false">IF(OR($D198="",$F198=0),"",$E198/$F198)</f>
        <v/>
      </c>
      <c r="M198" s="18" t="str">
        <f aca="false">IF(OR($D198="",$F198=0),"",$G198/$F198)</f>
        <v/>
      </c>
      <c r="N198" s="18" t="str">
        <f aca="false">IF(OR($D198="",$F198=0),"",$H198/$F198)</f>
        <v/>
      </c>
      <c r="O198" s="17" t="str">
        <f aca="false">IF(OR($D198="",$H198=0),"",$E198/$H198)</f>
        <v/>
      </c>
      <c r="P198" s="17" t="str">
        <f aca="false">IF(OR($D198="",$J198=0),"",($E198+$K198)/$J198)</f>
        <v/>
      </c>
      <c r="Q198" s="20"/>
    </row>
    <row r="199" customFormat="false" ht="15" hidden="false" customHeight="false" outlineLevel="0" collapsed="false">
      <c r="A199" s="13"/>
      <c r="B199" s="13"/>
      <c r="C199" s="13"/>
      <c r="D199" s="14"/>
      <c r="E199" s="15"/>
      <c r="F199" s="16"/>
      <c r="G199" s="16"/>
      <c r="H199" s="16"/>
      <c r="I199" s="16"/>
      <c r="J199" s="16"/>
      <c r="K199" s="15"/>
      <c r="L199" s="17" t="str">
        <f aca="false">IF(OR($D199="",$F199=0),"",$E199/$F199)</f>
        <v/>
      </c>
      <c r="M199" s="18" t="str">
        <f aca="false">IF(OR($D199="",$F199=0),"",$G199/$F199)</f>
        <v/>
      </c>
      <c r="N199" s="18" t="str">
        <f aca="false">IF(OR($D199="",$F199=0),"",$H199/$F199)</f>
        <v/>
      </c>
      <c r="O199" s="17" t="str">
        <f aca="false">IF(OR($D199="",$H199=0),"",$E199/$H199)</f>
        <v/>
      </c>
      <c r="P199" s="17" t="str">
        <f aca="false">IF(OR($D199="",$J199=0),"",($E199+$K199)/$J199)</f>
        <v/>
      </c>
      <c r="Q199" s="20"/>
    </row>
    <row r="200" customFormat="false" ht="15" hidden="false" customHeight="false" outlineLevel="0" collapsed="false">
      <c r="A200" s="13"/>
      <c r="B200" s="13"/>
      <c r="C200" s="13"/>
      <c r="D200" s="14"/>
      <c r="E200" s="15"/>
      <c r="F200" s="16"/>
      <c r="G200" s="16"/>
      <c r="H200" s="16"/>
      <c r="I200" s="16"/>
      <c r="J200" s="16"/>
      <c r="K200" s="15"/>
      <c r="L200" s="17" t="str">
        <f aca="false">IF(OR($D200="",$F200=0),"",$E200/$F200)</f>
        <v/>
      </c>
      <c r="M200" s="18" t="str">
        <f aca="false">IF(OR($D200="",$F200=0),"",$G200/$F200)</f>
        <v/>
      </c>
      <c r="N200" s="18" t="str">
        <f aca="false">IF(OR($D200="",$F200=0),"",$H200/$F200)</f>
        <v/>
      </c>
      <c r="O200" s="17" t="str">
        <f aca="false">IF(OR($D200="",$H200=0),"",$E200/$H200)</f>
        <v/>
      </c>
      <c r="P200" s="17" t="str">
        <f aca="false">IF(OR($D200="",$J200=0),"",($E200+$K200)/$J200)</f>
        <v/>
      </c>
      <c r="Q200" s="20"/>
    </row>
    <row r="201" customFormat="false" ht="15" hidden="false" customHeight="false" outlineLevel="0" collapsed="false">
      <c r="A201" s="13"/>
      <c r="B201" s="13"/>
      <c r="C201" s="13"/>
      <c r="D201" s="14"/>
      <c r="E201" s="15"/>
      <c r="F201" s="16"/>
      <c r="G201" s="16"/>
      <c r="H201" s="16"/>
      <c r="I201" s="16"/>
      <c r="J201" s="16"/>
      <c r="K201" s="15"/>
      <c r="L201" s="17" t="str">
        <f aca="false">IF(OR($D201="",$F201=0),"",$E201/$F201)</f>
        <v/>
      </c>
      <c r="M201" s="18" t="str">
        <f aca="false">IF(OR($D201="",$F201=0),"",$G201/$F201)</f>
        <v/>
      </c>
      <c r="N201" s="18" t="str">
        <f aca="false">IF(OR($D201="",$F201=0),"",$H201/$F201)</f>
        <v/>
      </c>
      <c r="O201" s="17" t="str">
        <f aca="false">IF(OR($D201="",$H201=0),"",$E201/$H201)</f>
        <v/>
      </c>
      <c r="P201" s="17" t="str">
        <f aca="false">IF(OR($D201="",$J201=0),"",($E201+$K201)/$J201)</f>
        <v/>
      </c>
      <c r="Q201" s="20"/>
    </row>
    <row r="202" customFormat="false" ht="15" hidden="false" customHeight="false" outlineLevel="0" collapsed="false">
      <c r="A202" s="13"/>
      <c r="B202" s="13"/>
      <c r="C202" s="13"/>
      <c r="D202" s="14"/>
      <c r="E202" s="15"/>
      <c r="F202" s="16"/>
      <c r="G202" s="16"/>
      <c r="H202" s="16"/>
      <c r="I202" s="16"/>
      <c r="J202" s="16"/>
      <c r="K202" s="15"/>
      <c r="L202" s="17" t="str">
        <f aca="false">IF(OR($D202="",$F202=0),"",$E202/$F202)</f>
        <v/>
      </c>
      <c r="M202" s="18" t="str">
        <f aca="false">IF(OR($D202="",$F202=0),"",$G202/$F202)</f>
        <v/>
      </c>
      <c r="N202" s="18" t="str">
        <f aca="false">IF(OR($D202="",$F202=0),"",$H202/$F202)</f>
        <v/>
      </c>
      <c r="O202" s="17" t="str">
        <f aca="false">IF(OR($D202="",$H202=0),"",$E202/$H202)</f>
        <v/>
      </c>
      <c r="P202" s="17" t="str">
        <f aca="false">IF(OR($D202="",$J202=0),"",($E202+$K202)/$J202)</f>
        <v/>
      </c>
      <c r="Q202" s="20"/>
    </row>
    <row r="203" customFormat="false" ht="15" hidden="false" customHeight="false" outlineLevel="0" collapsed="false">
      <c r="A203" s="13"/>
      <c r="B203" s="13"/>
      <c r="C203" s="13"/>
      <c r="D203" s="14"/>
      <c r="E203" s="15"/>
      <c r="F203" s="16"/>
      <c r="G203" s="16"/>
      <c r="H203" s="16"/>
      <c r="I203" s="16"/>
      <c r="J203" s="16"/>
      <c r="K203" s="15"/>
      <c r="L203" s="17" t="str">
        <f aca="false">IF(OR($D203="",$F203=0),"",$E203/$F203)</f>
        <v/>
      </c>
      <c r="M203" s="18" t="str">
        <f aca="false">IF(OR($D203="",$F203=0),"",$G203/$F203)</f>
        <v/>
      </c>
      <c r="N203" s="18" t="str">
        <f aca="false">IF(OR($D203="",$F203=0),"",$H203/$F203)</f>
        <v/>
      </c>
      <c r="O203" s="17" t="str">
        <f aca="false">IF(OR($D203="",$H203=0),"",$E203/$H203)</f>
        <v/>
      </c>
      <c r="P203" s="17" t="str">
        <f aca="false">IF(OR($D203="",$J203=0),"",($E203+$K203)/$J203)</f>
        <v/>
      </c>
      <c r="Q203" s="20"/>
    </row>
    <row r="204" customFormat="false" ht="15" hidden="false" customHeight="false" outlineLevel="0" collapsed="false">
      <c r="A204" s="13"/>
      <c r="B204" s="13"/>
      <c r="C204" s="13"/>
      <c r="D204" s="14"/>
      <c r="E204" s="15"/>
      <c r="F204" s="16"/>
      <c r="G204" s="16"/>
      <c r="H204" s="16"/>
      <c r="I204" s="16"/>
      <c r="J204" s="16"/>
      <c r="K204" s="15"/>
      <c r="L204" s="17" t="str">
        <f aca="false">IF(OR($D204="",$F204=0),"",$E204/$F204)</f>
        <v/>
      </c>
      <c r="M204" s="18" t="str">
        <f aca="false">IF(OR($D204="",$F204=0),"",$G204/$F204)</f>
        <v/>
      </c>
      <c r="N204" s="18" t="str">
        <f aca="false">IF(OR($D204="",$F204=0),"",$H204/$F204)</f>
        <v/>
      </c>
      <c r="O204" s="17" t="str">
        <f aca="false">IF(OR($D204="",$H204=0),"",$E204/$H204)</f>
        <v/>
      </c>
      <c r="P204" s="17" t="str">
        <f aca="false">IF(OR($D204="",$J204=0),"",($E204+$K204)/$J204)</f>
        <v/>
      </c>
      <c r="Q204" s="20"/>
    </row>
    <row r="205" customFormat="false" ht="15" hidden="false" customHeight="false" outlineLevel="0" collapsed="false">
      <c r="A205" s="13"/>
      <c r="B205" s="13"/>
      <c r="C205" s="13"/>
      <c r="D205" s="14"/>
      <c r="E205" s="15"/>
      <c r="F205" s="16"/>
      <c r="G205" s="16"/>
      <c r="H205" s="16"/>
      <c r="I205" s="16"/>
      <c r="J205" s="16"/>
      <c r="K205" s="15"/>
      <c r="L205" s="17" t="str">
        <f aca="false">IF(OR($D205="",$F205=0),"",$E205/$F205)</f>
        <v/>
      </c>
      <c r="M205" s="18" t="str">
        <f aca="false">IF(OR($D205="",$F205=0),"",$G205/$F205)</f>
        <v/>
      </c>
      <c r="N205" s="18" t="str">
        <f aca="false">IF(OR($D205="",$F205=0),"",$H205/$F205)</f>
        <v/>
      </c>
      <c r="O205" s="17" t="str">
        <f aca="false">IF(OR($D205="",$H205=0),"",$E205/$H205)</f>
        <v/>
      </c>
      <c r="P205" s="17" t="str">
        <f aca="false">IF(OR($D205="",$J205=0),"",($E205+$K205)/$J205)</f>
        <v/>
      </c>
      <c r="Q205" s="20"/>
    </row>
    <row r="206" customFormat="false" ht="15" hidden="false" customHeight="false" outlineLevel="0" collapsed="false">
      <c r="A206" s="13"/>
      <c r="B206" s="13"/>
      <c r="C206" s="13"/>
      <c r="D206" s="14"/>
      <c r="E206" s="15"/>
      <c r="F206" s="16"/>
      <c r="G206" s="16"/>
      <c r="H206" s="16"/>
      <c r="I206" s="16"/>
      <c r="J206" s="16"/>
      <c r="K206" s="15"/>
      <c r="L206" s="17" t="str">
        <f aca="false">IF(OR($D206="",$F206=0),"",$E206/$F206)</f>
        <v/>
      </c>
      <c r="M206" s="18" t="str">
        <f aca="false">IF(OR($D206="",$F206=0),"",$G206/$F206)</f>
        <v/>
      </c>
      <c r="N206" s="18" t="str">
        <f aca="false">IF(OR($D206="",$F206=0),"",$H206/$F206)</f>
        <v/>
      </c>
      <c r="O206" s="17" t="str">
        <f aca="false">IF(OR($D206="",$H206=0),"",$E206/$H206)</f>
        <v/>
      </c>
      <c r="P206" s="17" t="str">
        <f aca="false">IF(OR($D206="",$J206=0),"",($E206+$K206)/$J206)</f>
        <v/>
      </c>
      <c r="Q206" s="20"/>
    </row>
    <row r="207" customFormat="false" ht="15" hidden="false" customHeight="false" outlineLevel="0" collapsed="false">
      <c r="A207" s="13"/>
      <c r="B207" s="13"/>
      <c r="C207" s="13"/>
      <c r="D207" s="14"/>
      <c r="E207" s="15"/>
      <c r="F207" s="16"/>
      <c r="G207" s="16"/>
      <c r="H207" s="16"/>
      <c r="I207" s="16"/>
      <c r="J207" s="16"/>
      <c r="K207" s="15"/>
      <c r="L207" s="17" t="str">
        <f aca="false">IF(OR($D207="",$F207=0),"",$E207/$F207)</f>
        <v/>
      </c>
      <c r="M207" s="18" t="str">
        <f aca="false">IF(OR($D207="",$F207=0),"",$G207/$F207)</f>
        <v/>
      </c>
      <c r="N207" s="18" t="str">
        <f aca="false">IF(OR($D207="",$F207=0),"",$H207/$F207)</f>
        <v/>
      </c>
      <c r="O207" s="17" t="str">
        <f aca="false">IF(OR($D207="",$H207=0),"",$E207/$H207)</f>
        <v/>
      </c>
      <c r="P207" s="17" t="str">
        <f aca="false">IF(OR($D207="",$J207=0),"",($E207+$K207)/$J207)</f>
        <v/>
      </c>
      <c r="Q207" s="20"/>
    </row>
    <row r="208" customFormat="false" ht="15" hidden="false" customHeight="false" outlineLevel="0" collapsed="false">
      <c r="A208" s="13"/>
      <c r="B208" s="13"/>
      <c r="C208" s="13"/>
      <c r="D208" s="14"/>
      <c r="E208" s="15"/>
      <c r="F208" s="16"/>
      <c r="G208" s="16"/>
      <c r="H208" s="16"/>
      <c r="I208" s="16"/>
      <c r="J208" s="16"/>
      <c r="K208" s="15"/>
      <c r="L208" s="17" t="str">
        <f aca="false">IF(OR($D208="",$F208=0),"",$E208/$F208)</f>
        <v/>
      </c>
      <c r="M208" s="18" t="str">
        <f aca="false">IF(OR($D208="",$F208=0),"",$G208/$F208)</f>
        <v/>
      </c>
      <c r="N208" s="18" t="str">
        <f aca="false">IF(OR($D208="",$F208=0),"",$H208/$F208)</f>
        <v/>
      </c>
      <c r="O208" s="17" t="str">
        <f aca="false">IF(OR($D208="",$H208=0),"",$E208/$H208)</f>
        <v/>
      </c>
      <c r="P208" s="17" t="str">
        <f aca="false">IF(OR($D208="",$J208=0),"",($E208+$K208)/$J208)</f>
        <v/>
      </c>
      <c r="Q208" s="20"/>
    </row>
    <row r="209" customFormat="false" ht="15" hidden="false" customHeight="false" outlineLevel="0" collapsed="false">
      <c r="A209" s="13"/>
      <c r="B209" s="13"/>
      <c r="C209" s="13"/>
      <c r="D209" s="14"/>
      <c r="E209" s="15"/>
      <c r="F209" s="16"/>
      <c r="G209" s="16"/>
      <c r="H209" s="16"/>
      <c r="I209" s="16"/>
      <c r="J209" s="16"/>
      <c r="K209" s="15"/>
      <c r="L209" s="17" t="str">
        <f aca="false">IF(OR($D209="",$F209=0),"",$E209/$F209)</f>
        <v/>
      </c>
      <c r="M209" s="18" t="str">
        <f aca="false">IF(OR($D209="",$F209=0),"",$G209/$F209)</f>
        <v/>
      </c>
      <c r="N209" s="18" t="str">
        <f aca="false">IF(OR($D209="",$F209=0),"",$H209/$F209)</f>
        <v/>
      </c>
      <c r="O209" s="17" t="str">
        <f aca="false">IF(OR($D209="",$H209=0),"",$E209/$H209)</f>
        <v/>
      </c>
      <c r="P209" s="17" t="str">
        <f aca="false">IF(OR($D209="",$J209=0),"",($E209+$K209)/$J209)</f>
        <v/>
      </c>
      <c r="Q209" s="20"/>
    </row>
    <row r="210" customFormat="false" ht="15" hidden="false" customHeight="false" outlineLevel="0" collapsed="false">
      <c r="A210" s="13"/>
      <c r="B210" s="13"/>
      <c r="C210" s="13"/>
      <c r="D210" s="14"/>
      <c r="E210" s="15"/>
      <c r="F210" s="16"/>
      <c r="G210" s="16"/>
      <c r="H210" s="16"/>
      <c r="I210" s="16"/>
      <c r="J210" s="16"/>
      <c r="K210" s="15"/>
      <c r="L210" s="17" t="str">
        <f aca="false">IF(OR($D210="",$F210=0),"",$E210/$F210)</f>
        <v/>
      </c>
      <c r="M210" s="18" t="str">
        <f aca="false">IF(OR($D210="",$F210=0),"",$G210/$F210)</f>
        <v/>
      </c>
      <c r="N210" s="18" t="str">
        <f aca="false">IF(OR($D210="",$F210=0),"",$H210/$F210)</f>
        <v/>
      </c>
      <c r="O210" s="17" t="str">
        <f aca="false">IF(OR($D210="",$H210=0),"",$E210/$H210)</f>
        <v/>
      </c>
      <c r="P210" s="17" t="str">
        <f aca="false">IF(OR($D210="",$J210=0),"",($E210+$K210)/$J210)</f>
        <v/>
      </c>
      <c r="Q210" s="20"/>
    </row>
    <row r="211" customFormat="false" ht="15" hidden="false" customHeight="false" outlineLevel="0" collapsed="false">
      <c r="A211" s="13"/>
      <c r="B211" s="13"/>
      <c r="C211" s="13"/>
      <c r="D211" s="14"/>
      <c r="E211" s="15"/>
      <c r="F211" s="16"/>
      <c r="G211" s="16"/>
      <c r="H211" s="16"/>
      <c r="I211" s="16"/>
      <c r="J211" s="16"/>
      <c r="K211" s="15"/>
      <c r="L211" s="17" t="str">
        <f aca="false">IF(OR($D211="",$F211=0),"",$E211/$F211)</f>
        <v/>
      </c>
      <c r="M211" s="18" t="str">
        <f aca="false">IF(OR($D211="",$F211=0),"",$G211/$F211)</f>
        <v/>
      </c>
      <c r="N211" s="18" t="str">
        <f aca="false">IF(OR($D211="",$F211=0),"",$H211/$F211)</f>
        <v/>
      </c>
      <c r="O211" s="17" t="str">
        <f aca="false">IF(OR($D211="",$H211=0),"",$E211/$H211)</f>
        <v/>
      </c>
      <c r="P211" s="17" t="str">
        <f aca="false">IF(OR($D211="",$J211=0),"",($E211+$K211)/$J211)</f>
        <v/>
      </c>
      <c r="Q211" s="20"/>
    </row>
    <row r="212" customFormat="false" ht="15" hidden="false" customHeight="false" outlineLevel="0" collapsed="false">
      <c r="A212" s="13"/>
      <c r="B212" s="13"/>
      <c r="C212" s="13"/>
      <c r="D212" s="14"/>
      <c r="E212" s="15"/>
      <c r="F212" s="16"/>
      <c r="G212" s="16"/>
      <c r="H212" s="16"/>
      <c r="I212" s="16"/>
      <c r="J212" s="16"/>
      <c r="K212" s="15"/>
      <c r="L212" s="17" t="str">
        <f aca="false">IF(OR($D212="",$F212=0),"",$E212/$F212)</f>
        <v/>
      </c>
      <c r="M212" s="18" t="str">
        <f aca="false">IF(OR($D212="",$F212=0),"",$G212/$F212)</f>
        <v/>
      </c>
      <c r="N212" s="18" t="str">
        <f aca="false">IF(OR($D212="",$F212=0),"",$H212/$F212)</f>
        <v/>
      </c>
      <c r="O212" s="17" t="str">
        <f aca="false">IF(OR($D212="",$H212=0),"",$E212/$H212)</f>
        <v/>
      </c>
      <c r="P212" s="17" t="str">
        <f aca="false">IF(OR($D212="",$J212=0),"",($E212+$K212)/$J212)</f>
        <v/>
      </c>
      <c r="Q212" s="20"/>
    </row>
    <row r="213" customFormat="false" ht="15" hidden="false" customHeight="false" outlineLevel="0" collapsed="false">
      <c r="A213" s="13"/>
      <c r="B213" s="13"/>
      <c r="C213" s="13"/>
      <c r="D213" s="14"/>
      <c r="E213" s="15"/>
      <c r="F213" s="16"/>
      <c r="G213" s="16"/>
      <c r="H213" s="16"/>
      <c r="I213" s="16"/>
      <c r="J213" s="16"/>
      <c r="K213" s="15"/>
      <c r="L213" s="17" t="str">
        <f aca="false">IF(OR($D213="",$F213=0),"",$E213/$F213)</f>
        <v/>
      </c>
      <c r="M213" s="18" t="str">
        <f aca="false">IF(OR($D213="",$F213=0),"",$G213/$F213)</f>
        <v/>
      </c>
      <c r="N213" s="18" t="str">
        <f aca="false">IF(OR($D213="",$F213=0),"",$H213/$F213)</f>
        <v/>
      </c>
      <c r="O213" s="17" t="str">
        <f aca="false">IF(OR($D213="",$H213=0),"",$E213/$H213)</f>
        <v/>
      </c>
      <c r="P213" s="17" t="str">
        <f aca="false">IF(OR($D213="",$J213=0),"",($E213+$K213)/$J213)</f>
        <v/>
      </c>
      <c r="Q213" s="20"/>
    </row>
    <row r="214" customFormat="false" ht="15" hidden="false" customHeight="false" outlineLevel="0" collapsed="false">
      <c r="A214" s="13"/>
      <c r="B214" s="13"/>
      <c r="C214" s="13"/>
      <c r="D214" s="14"/>
      <c r="E214" s="15"/>
      <c r="F214" s="16"/>
      <c r="G214" s="16"/>
      <c r="H214" s="16"/>
      <c r="I214" s="16"/>
      <c r="J214" s="16"/>
      <c r="K214" s="15"/>
      <c r="L214" s="17" t="str">
        <f aca="false">IF(OR($D214="",$F214=0),"",$E214/$F214)</f>
        <v/>
      </c>
      <c r="M214" s="18" t="str">
        <f aca="false">IF(OR($D214="",$F214=0),"",$G214/$F214)</f>
        <v/>
      </c>
      <c r="N214" s="18" t="str">
        <f aca="false">IF(OR($D214="",$F214=0),"",$H214/$F214)</f>
        <v/>
      </c>
      <c r="O214" s="17" t="str">
        <f aca="false">IF(OR($D214="",$H214=0),"",$E214/$H214)</f>
        <v/>
      </c>
      <c r="P214" s="17" t="str">
        <f aca="false">IF(OR($D214="",$J214=0),"",($E214+$K214)/$J214)</f>
        <v/>
      </c>
      <c r="Q214" s="20"/>
    </row>
    <row r="215" customFormat="false" ht="15" hidden="false" customHeight="false" outlineLevel="0" collapsed="false">
      <c r="A215" s="13"/>
      <c r="B215" s="13"/>
      <c r="C215" s="13"/>
      <c r="D215" s="14"/>
      <c r="E215" s="15"/>
      <c r="F215" s="16"/>
      <c r="G215" s="16"/>
      <c r="H215" s="16"/>
      <c r="I215" s="16"/>
      <c r="J215" s="16"/>
      <c r="K215" s="15"/>
      <c r="L215" s="17" t="str">
        <f aca="false">IF(OR($D215="",$F215=0),"",$E215/$F215)</f>
        <v/>
      </c>
      <c r="M215" s="18" t="str">
        <f aca="false">IF(OR($D215="",$F215=0),"",$G215/$F215)</f>
        <v/>
      </c>
      <c r="N215" s="18" t="str">
        <f aca="false">IF(OR($D215="",$F215=0),"",$H215/$F215)</f>
        <v/>
      </c>
      <c r="O215" s="17" t="str">
        <f aca="false">IF(OR($D215="",$H215=0),"",$E215/$H215)</f>
        <v/>
      </c>
      <c r="P215" s="17" t="str">
        <f aca="false">IF(OR($D215="",$J215=0),"",($E215+$K215)/$J215)</f>
        <v/>
      </c>
      <c r="Q215" s="20"/>
    </row>
    <row r="216" customFormat="false" ht="15" hidden="false" customHeight="false" outlineLevel="0" collapsed="false">
      <c r="A216" s="13"/>
      <c r="B216" s="13"/>
      <c r="C216" s="13"/>
      <c r="D216" s="14"/>
      <c r="E216" s="15"/>
      <c r="F216" s="16"/>
      <c r="G216" s="16"/>
      <c r="H216" s="16"/>
      <c r="I216" s="16"/>
      <c r="J216" s="16"/>
      <c r="K216" s="15"/>
      <c r="L216" s="17" t="str">
        <f aca="false">IF(OR($D216="",$F216=0),"",$E216/$F216)</f>
        <v/>
      </c>
      <c r="M216" s="18" t="str">
        <f aca="false">IF(OR($D216="",$F216=0),"",$G216/$F216)</f>
        <v/>
      </c>
      <c r="N216" s="18" t="str">
        <f aca="false">IF(OR($D216="",$F216=0),"",$H216/$F216)</f>
        <v/>
      </c>
      <c r="O216" s="17" t="str">
        <f aca="false">IF(OR($D216="",$H216=0),"",$E216/$H216)</f>
        <v/>
      </c>
      <c r="P216" s="17" t="str">
        <f aca="false">IF(OR($D216="",$J216=0),"",($E216+$K216)/$J216)</f>
        <v/>
      </c>
      <c r="Q216" s="20"/>
    </row>
    <row r="217" customFormat="false" ht="15" hidden="false" customHeight="false" outlineLevel="0" collapsed="false">
      <c r="A217" s="13"/>
      <c r="B217" s="13"/>
      <c r="C217" s="13"/>
      <c r="D217" s="14"/>
      <c r="E217" s="15"/>
      <c r="F217" s="16"/>
      <c r="G217" s="16"/>
      <c r="H217" s="16"/>
      <c r="I217" s="16"/>
      <c r="J217" s="16"/>
      <c r="K217" s="15"/>
      <c r="L217" s="17" t="str">
        <f aca="false">IF(OR($D217="",$F217=0),"",$E217/$F217)</f>
        <v/>
      </c>
      <c r="M217" s="18" t="str">
        <f aca="false">IF(OR($D217="",$F217=0),"",$G217/$F217)</f>
        <v/>
      </c>
      <c r="N217" s="18" t="str">
        <f aca="false">IF(OR($D217="",$F217=0),"",$H217/$F217)</f>
        <v/>
      </c>
      <c r="O217" s="17" t="str">
        <f aca="false">IF(OR($D217="",$H217=0),"",$E217/$H217)</f>
        <v/>
      </c>
      <c r="P217" s="17" t="str">
        <f aca="false">IF(OR($D217="",$J217=0),"",($E217+$K217)/$J217)</f>
        <v/>
      </c>
      <c r="Q217" s="20"/>
    </row>
    <row r="218" customFormat="false" ht="15" hidden="false" customHeight="false" outlineLevel="0" collapsed="false">
      <c r="A218" s="13"/>
      <c r="B218" s="13"/>
      <c r="C218" s="13"/>
      <c r="D218" s="14"/>
      <c r="E218" s="15"/>
      <c r="F218" s="16"/>
      <c r="G218" s="16"/>
      <c r="H218" s="16"/>
      <c r="I218" s="16"/>
      <c r="J218" s="16"/>
      <c r="K218" s="15"/>
      <c r="L218" s="17" t="str">
        <f aca="false">IF(OR($D218="",$F218=0),"",$E218/$F218)</f>
        <v/>
      </c>
      <c r="M218" s="18" t="str">
        <f aca="false">IF(OR($D218="",$F218=0),"",$G218/$F218)</f>
        <v/>
      </c>
      <c r="N218" s="18" t="str">
        <f aca="false">IF(OR($D218="",$F218=0),"",$H218/$F218)</f>
        <v/>
      </c>
      <c r="O218" s="17" t="str">
        <f aca="false">IF(OR($D218="",$H218=0),"",$E218/$H218)</f>
        <v/>
      </c>
      <c r="P218" s="17" t="str">
        <f aca="false">IF(OR($D218="",$J218=0),"",($E218+$K218)/$J218)</f>
        <v/>
      </c>
      <c r="Q218" s="20"/>
    </row>
    <row r="219" customFormat="false" ht="15" hidden="false" customHeight="false" outlineLevel="0" collapsed="false">
      <c r="A219" s="13"/>
      <c r="B219" s="13"/>
      <c r="C219" s="13"/>
      <c r="D219" s="14"/>
      <c r="E219" s="15"/>
      <c r="F219" s="16"/>
      <c r="G219" s="16"/>
      <c r="H219" s="16"/>
      <c r="I219" s="16"/>
      <c r="J219" s="16"/>
      <c r="K219" s="15"/>
      <c r="L219" s="17" t="str">
        <f aca="false">IF(OR($D219="",$F219=0),"",$E219/$F219)</f>
        <v/>
      </c>
      <c r="M219" s="18" t="str">
        <f aca="false">IF(OR($D219="",$F219=0),"",$G219/$F219)</f>
        <v/>
      </c>
      <c r="N219" s="18" t="str">
        <f aca="false">IF(OR($D219="",$F219=0),"",$H219/$F219)</f>
        <v/>
      </c>
      <c r="O219" s="17" t="str">
        <f aca="false">IF(OR($D219="",$H219=0),"",$E219/$H219)</f>
        <v/>
      </c>
      <c r="P219" s="17" t="str">
        <f aca="false">IF(OR($D219="",$J219=0),"",($E219+$K219)/$J219)</f>
        <v/>
      </c>
      <c r="Q219" s="20"/>
    </row>
    <row r="220" customFormat="false" ht="15" hidden="false" customHeight="false" outlineLevel="0" collapsed="false">
      <c r="A220" s="13"/>
      <c r="B220" s="13"/>
      <c r="C220" s="13"/>
      <c r="D220" s="14"/>
      <c r="E220" s="15"/>
      <c r="F220" s="16"/>
      <c r="G220" s="16"/>
      <c r="H220" s="16"/>
      <c r="I220" s="16"/>
      <c r="J220" s="16"/>
      <c r="K220" s="15"/>
      <c r="L220" s="17" t="str">
        <f aca="false">IF(OR($D220="",$F220=0),"",$E220/$F220)</f>
        <v/>
      </c>
      <c r="M220" s="18" t="str">
        <f aca="false">IF(OR($D220="",$F220=0),"",$G220/$F220)</f>
        <v/>
      </c>
      <c r="N220" s="18" t="str">
        <f aca="false">IF(OR($D220="",$F220=0),"",$H220/$F220)</f>
        <v/>
      </c>
      <c r="O220" s="17" t="str">
        <f aca="false">IF(OR($D220="",$H220=0),"",$E220/$H220)</f>
        <v/>
      </c>
      <c r="P220" s="17" t="str">
        <f aca="false">IF(OR($D220="",$J220=0),"",($E220+$K220)/$J220)</f>
        <v/>
      </c>
      <c r="Q220" s="20"/>
    </row>
    <row r="221" customFormat="false" ht="15" hidden="false" customHeight="false" outlineLevel="0" collapsed="false">
      <c r="A221" s="13"/>
      <c r="B221" s="13"/>
      <c r="C221" s="13"/>
      <c r="D221" s="14"/>
      <c r="E221" s="15"/>
      <c r="F221" s="16"/>
      <c r="G221" s="16"/>
      <c r="H221" s="16"/>
      <c r="I221" s="16"/>
      <c r="J221" s="16"/>
      <c r="K221" s="15"/>
      <c r="L221" s="17" t="str">
        <f aca="false">IF(OR($D221="",$F221=0),"",$E221/$F221)</f>
        <v/>
      </c>
      <c r="M221" s="18" t="str">
        <f aca="false">IF(OR($D221="",$F221=0),"",$G221/$F221)</f>
        <v/>
      </c>
      <c r="N221" s="18" t="str">
        <f aca="false">IF(OR($D221="",$F221=0),"",$H221/$F221)</f>
        <v/>
      </c>
      <c r="O221" s="17" t="str">
        <f aca="false">IF(OR($D221="",$H221=0),"",$E221/$H221)</f>
        <v/>
      </c>
      <c r="P221" s="17" t="str">
        <f aca="false">IF(OR($D221="",$J221=0),"",($E221+$K221)/$J221)</f>
        <v/>
      </c>
      <c r="Q221" s="20"/>
    </row>
    <row r="222" customFormat="false" ht="15" hidden="false" customHeight="false" outlineLevel="0" collapsed="false">
      <c r="A222" s="13"/>
      <c r="B222" s="13"/>
      <c r="C222" s="13"/>
      <c r="D222" s="14"/>
      <c r="E222" s="15"/>
      <c r="F222" s="16"/>
      <c r="G222" s="16"/>
      <c r="H222" s="16"/>
      <c r="I222" s="16"/>
      <c r="J222" s="16"/>
      <c r="K222" s="15"/>
      <c r="L222" s="17" t="str">
        <f aca="false">IF(OR($D222="",$F222=0),"",$E222/$F222)</f>
        <v/>
      </c>
      <c r="M222" s="18" t="str">
        <f aca="false">IF(OR($D222="",$F222=0),"",$G222/$F222)</f>
        <v/>
      </c>
      <c r="N222" s="18" t="str">
        <f aca="false">IF(OR($D222="",$F222=0),"",$H222/$F222)</f>
        <v/>
      </c>
      <c r="O222" s="17" t="str">
        <f aca="false">IF(OR($D222="",$H222=0),"",$E222/$H222)</f>
        <v/>
      </c>
      <c r="P222" s="17" t="str">
        <f aca="false">IF(OR($D222="",$J222=0),"",($E222+$K222)/$J222)</f>
        <v/>
      </c>
      <c r="Q222" s="20"/>
    </row>
    <row r="223" customFormat="false" ht="15" hidden="false" customHeight="false" outlineLevel="0" collapsed="false">
      <c r="A223" s="13"/>
      <c r="B223" s="13"/>
      <c r="C223" s="13"/>
      <c r="D223" s="14"/>
      <c r="E223" s="15"/>
      <c r="F223" s="16"/>
      <c r="G223" s="16"/>
      <c r="H223" s="16"/>
      <c r="I223" s="16"/>
      <c r="J223" s="16"/>
      <c r="K223" s="15"/>
      <c r="L223" s="17" t="str">
        <f aca="false">IF(OR($D223="",$F223=0),"",$E223/$F223)</f>
        <v/>
      </c>
      <c r="M223" s="18" t="str">
        <f aca="false">IF(OR($D223="",$F223=0),"",$G223/$F223)</f>
        <v/>
      </c>
      <c r="N223" s="18" t="str">
        <f aca="false">IF(OR($D223="",$F223=0),"",$H223/$F223)</f>
        <v/>
      </c>
      <c r="O223" s="17" t="str">
        <f aca="false">IF(OR($D223="",$H223=0),"",$E223/$H223)</f>
        <v/>
      </c>
      <c r="P223" s="17" t="str">
        <f aca="false">IF(OR($D223="",$J223=0),"",($E223+$K223)/$J223)</f>
        <v/>
      </c>
      <c r="Q223" s="20"/>
    </row>
    <row r="224" customFormat="false" ht="15" hidden="false" customHeight="false" outlineLevel="0" collapsed="false">
      <c r="A224" s="13"/>
      <c r="B224" s="13"/>
      <c r="C224" s="13"/>
      <c r="D224" s="14"/>
      <c r="E224" s="15"/>
      <c r="F224" s="16"/>
      <c r="G224" s="16"/>
      <c r="H224" s="16"/>
      <c r="I224" s="16"/>
      <c r="J224" s="16"/>
      <c r="K224" s="15"/>
      <c r="L224" s="17" t="str">
        <f aca="false">IF(OR($D224="",$F224=0),"",$E224/$F224)</f>
        <v/>
      </c>
      <c r="M224" s="18" t="str">
        <f aca="false">IF(OR($D224="",$F224=0),"",$G224/$F224)</f>
        <v/>
      </c>
      <c r="N224" s="18" t="str">
        <f aca="false">IF(OR($D224="",$F224=0),"",$H224/$F224)</f>
        <v/>
      </c>
      <c r="O224" s="17" t="str">
        <f aca="false">IF(OR($D224="",$H224=0),"",$E224/$H224)</f>
        <v/>
      </c>
      <c r="P224" s="17" t="str">
        <f aca="false">IF(OR($D224="",$J224=0),"",($E224+$K224)/$J224)</f>
        <v/>
      </c>
      <c r="Q224" s="20"/>
    </row>
    <row r="225" customFormat="false" ht="15" hidden="false" customHeight="false" outlineLevel="0" collapsed="false">
      <c r="A225" s="13"/>
      <c r="B225" s="13"/>
      <c r="C225" s="13"/>
      <c r="D225" s="14"/>
      <c r="E225" s="15"/>
      <c r="F225" s="16"/>
      <c r="G225" s="16"/>
      <c r="H225" s="16"/>
      <c r="I225" s="16"/>
      <c r="J225" s="16"/>
      <c r="K225" s="15"/>
      <c r="L225" s="17" t="str">
        <f aca="false">IF(OR($D225="",$F225=0),"",$E225/$F225)</f>
        <v/>
      </c>
      <c r="M225" s="18" t="str">
        <f aca="false">IF(OR($D225="",$F225=0),"",$G225/$F225)</f>
        <v/>
      </c>
      <c r="N225" s="18" t="str">
        <f aca="false">IF(OR($D225="",$F225=0),"",$H225/$F225)</f>
        <v/>
      </c>
      <c r="O225" s="17" t="str">
        <f aca="false">IF(OR($D225="",$H225=0),"",$E225/$H225)</f>
        <v/>
      </c>
      <c r="P225" s="17" t="str">
        <f aca="false">IF(OR($D225="",$J225=0),"",($E225+$K225)/$J225)</f>
        <v/>
      </c>
      <c r="Q225" s="20"/>
    </row>
    <row r="226" customFormat="false" ht="15" hidden="false" customHeight="false" outlineLevel="0" collapsed="false">
      <c r="A226" s="13"/>
      <c r="B226" s="13"/>
      <c r="C226" s="13"/>
      <c r="D226" s="14"/>
      <c r="E226" s="15"/>
      <c r="F226" s="16"/>
      <c r="G226" s="16"/>
      <c r="H226" s="16"/>
      <c r="I226" s="16"/>
      <c r="J226" s="16"/>
      <c r="K226" s="15"/>
      <c r="L226" s="17" t="str">
        <f aca="false">IF(OR($D226="",$F226=0),"",$E226/$F226)</f>
        <v/>
      </c>
      <c r="M226" s="18" t="str">
        <f aca="false">IF(OR($D226="",$F226=0),"",$G226/$F226)</f>
        <v/>
      </c>
      <c r="N226" s="18" t="str">
        <f aca="false">IF(OR($D226="",$F226=0),"",$H226/$F226)</f>
        <v/>
      </c>
      <c r="O226" s="17" t="str">
        <f aca="false">IF(OR($D226="",$H226=0),"",$E226/$H226)</f>
        <v/>
      </c>
      <c r="P226" s="17" t="str">
        <f aca="false">IF(OR($D226="",$J226=0),"",($E226+$K226)/$J226)</f>
        <v/>
      </c>
      <c r="Q226" s="20"/>
    </row>
    <row r="227" customFormat="false" ht="15" hidden="false" customHeight="false" outlineLevel="0" collapsed="false">
      <c r="A227" s="13"/>
      <c r="B227" s="13"/>
      <c r="C227" s="13"/>
      <c r="D227" s="14"/>
      <c r="E227" s="15"/>
      <c r="F227" s="16"/>
      <c r="G227" s="16"/>
      <c r="H227" s="16"/>
      <c r="I227" s="16"/>
      <c r="J227" s="16"/>
      <c r="K227" s="15"/>
      <c r="L227" s="17" t="str">
        <f aca="false">IF(OR($D227="",$F227=0),"",$E227/$F227)</f>
        <v/>
      </c>
      <c r="M227" s="18" t="str">
        <f aca="false">IF(OR($D227="",$F227=0),"",$G227/$F227)</f>
        <v/>
      </c>
      <c r="N227" s="18" t="str">
        <f aca="false">IF(OR($D227="",$F227=0),"",$H227/$F227)</f>
        <v/>
      </c>
      <c r="O227" s="17" t="str">
        <f aca="false">IF(OR($D227="",$H227=0),"",$E227/$H227)</f>
        <v/>
      </c>
      <c r="P227" s="17" t="str">
        <f aca="false">IF(OR($D227="",$J227=0),"",($E227+$K227)/$J227)</f>
        <v/>
      </c>
      <c r="Q227" s="20"/>
    </row>
    <row r="228" customFormat="false" ht="15" hidden="false" customHeight="false" outlineLevel="0" collapsed="false">
      <c r="A228" s="13"/>
      <c r="B228" s="13"/>
      <c r="C228" s="13"/>
      <c r="D228" s="14"/>
      <c r="E228" s="15"/>
      <c r="F228" s="16"/>
      <c r="G228" s="16"/>
      <c r="H228" s="16"/>
      <c r="I228" s="16"/>
      <c r="J228" s="16"/>
      <c r="K228" s="15"/>
      <c r="L228" s="17" t="str">
        <f aca="false">IF(OR($D228="",$F228=0),"",$E228/$F228)</f>
        <v/>
      </c>
      <c r="M228" s="18" t="str">
        <f aca="false">IF(OR($D228="",$F228=0),"",$G228/$F228)</f>
        <v/>
      </c>
      <c r="N228" s="18" t="str">
        <f aca="false">IF(OR($D228="",$F228=0),"",$H228/$F228)</f>
        <v/>
      </c>
      <c r="O228" s="17" t="str">
        <f aca="false">IF(OR($D228="",$H228=0),"",$E228/$H228)</f>
        <v/>
      </c>
      <c r="P228" s="17" t="str">
        <f aca="false">IF(OR($D228="",$J228=0),"",($E228+$K228)/$J228)</f>
        <v/>
      </c>
      <c r="Q228" s="20"/>
    </row>
    <row r="229" customFormat="false" ht="15" hidden="false" customHeight="false" outlineLevel="0" collapsed="false">
      <c r="A229" s="13"/>
      <c r="B229" s="13"/>
      <c r="C229" s="13"/>
      <c r="D229" s="14"/>
      <c r="E229" s="15"/>
      <c r="F229" s="16"/>
      <c r="G229" s="16"/>
      <c r="H229" s="16"/>
      <c r="I229" s="16"/>
      <c r="J229" s="16"/>
      <c r="K229" s="15"/>
      <c r="L229" s="17" t="str">
        <f aca="false">IF(OR($D229="",$F229=0),"",$E229/$F229)</f>
        <v/>
      </c>
      <c r="M229" s="18" t="str">
        <f aca="false">IF(OR($D229="",$F229=0),"",$G229/$F229)</f>
        <v/>
      </c>
      <c r="N229" s="18" t="str">
        <f aca="false">IF(OR($D229="",$F229=0),"",$H229/$F229)</f>
        <v/>
      </c>
      <c r="O229" s="17" t="str">
        <f aca="false">IF(OR($D229="",$H229=0),"",$E229/$H229)</f>
        <v/>
      </c>
      <c r="P229" s="17" t="str">
        <f aca="false">IF(OR($D229="",$J229=0),"",($E229+$K229)/$J229)</f>
        <v/>
      </c>
      <c r="Q229" s="20"/>
    </row>
    <row r="230" customFormat="false" ht="15" hidden="false" customHeight="false" outlineLevel="0" collapsed="false">
      <c r="A230" s="13"/>
      <c r="B230" s="13"/>
      <c r="C230" s="13"/>
      <c r="D230" s="14"/>
      <c r="E230" s="15"/>
      <c r="F230" s="16"/>
      <c r="G230" s="16"/>
      <c r="H230" s="16"/>
      <c r="I230" s="16"/>
      <c r="J230" s="16"/>
      <c r="K230" s="15"/>
      <c r="L230" s="17" t="str">
        <f aca="false">IF(OR($D230="",$F230=0),"",$E230/$F230)</f>
        <v/>
      </c>
      <c r="M230" s="18" t="str">
        <f aca="false">IF(OR($D230="",$F230=0),"",$G230/$F230)</f>
        <v/>
      </c>
      <c r="N230" s="18" t="str">
        <f aca="false">IF(OR($D230="",$F230=0),"",$H230/$F230)</f>
        <v/>
      </c>
      <c r="O230" s="17" t="str">
        <f aca="false">IF(OR($D230="",$H230=0),"",$E230/$H230)</f>
        <v/>
      </c>
      <c r="P230" s="17" t="str">
        <f aca="false">IF(OR($D230="",$J230=0),"",($E230+$K230)/$J230)</f>
        <v/>
      </c>
      <c r="Q230" s="20"/>
    </row>
    <row r="231" customFormat="false" ht="15" hidden="false" customHeight="false" outlineLevel="0" collapsed="false">
      <c r="A231" s="13"/>
      <c r="B231" s="13"/>
      <c r="C231" s="13"/>
      <c r="D231" s="14"/>
      <c r="E231" s="15"/>
      <c r="F231" s="16"/>
      <c r="G231" s="16"/>
      <c r="H231" s="16"/>
      <c r="I231" s="16"/>
      <c r="J231" s="16"/>
      <c r="K231" s="15"/>
      <c r="L231" s="17" t="str">
        <f aca="false">IF(OR($D231="",$F231=0),"",$E231/$F231)</f>
        <v/>
      </c>
      <c r="M231" s="18" t="str">
        <f aca="false">IF(OR($D231="",$F231=0),"",$G231/$F231)</f>
        <v/>
      </c>
      <c r="N231" s="18" t="str">
        <f aca="false">IF(OR($D231="",$F231=0),"",$H231/$F231)</f>
        <v/>
      </c>
      <c r="O231" s="17" t="str">
        <f aca="false">IF(OR($D231="",$H231=0),"",$E231/$H231)</f>
        <v/>
      </c>
      <c r="P231" s="17" t="str">
        <f aca="false">IF(OR($D231="",$J231=0),"",($E231+$K231)/$J231)</f>
        <v/>
      </c>
      <c r="Q231" s="20"/>
    </row>
    <row r="232" customFormat="false" ht="15" hidden="false" customHeight="false" outlineLevel="0" collapsed="false">
      <c r="A232" s="13"/>
      <c r="B232" s="13"/>
      <c r="C232" s="13"/>
      <c r="D232" s="14"/>
      <c r="E232" s="15"/>
      <c r="F232" s="16"/>
      <c r="G232" s="16"/>
      <c r="H232" s="16"/>
      <c r="I232" s="16"/>
      <c r="J232" s="16"/>
      <c r="K232" s="15"/>
      <c r="L232" s="17" t="str">
        <f aca="false">IF(OR($D232="",$F232=0),"",$E232/$F232)</f>
        <v/>
      </c>
      <c r="M232" s="18" t="str">
        <f aca="false">IF(OR($D232="",$F232=0),"",$G232/$F232)</f>
        <v/>
      </c>
      <c r="N232" s="18" t="str">
        <f aca="false">IF(OR($D232="",$F232=0),"",$H232/$F232)</f>
        <v/>
      </c>
      <c r="O232" s="17" t="str">
        <f aca="false">IF(OR($D232="",$H232=0),"",$E232/$H232)</f>
        <v/>
      </c>
      <c r="P232" s="17" t="str">
        <f aca="false">IF(OR($D232="",$J232=0),"",($E232+$K232)/$J232)</f>
        <v/>
      </c>
      <c r="Q232" s="20"/>
    </row>
    <row r="233" customFormat="false" ht="15" hidden="false" customHeight="false" outlineLevel="0" collapsed="false">
      <c r="A233" s="13"/>
      <c r="B233" s="13"/>
      <c r="C233" s="13"/>
      <c r="D233" s="14"/>
      <c r="E233" s="15"/>
      <c r="F233" s="16"/>
      <c r="G233" s="16"/>
      <c r="H233" s="16"/>
      <c r="I233" s="16"/>
      <c r="J233" s="16"/>
      <c r="K233" s="15"/>
      <c r="L233" s="17" t="str">
        <f aca="false">IF(OR($D233="",$F233=0),"",$E233/$F233)</f>
        <v/>
      </c>
      <c r="M233" s="18" t="str">
        <f aca="false">IF(OR($D233="",$F233=0),"",$G233/$F233)</f>
        <v/>
      </c>
      <c r="N233" s="18" t="str">
        <f aca="false">IF(OR($D233="",$F233=0),"",$H233/$F233)</f>
        <v/>
      </c>
      <c r="O233" s="17" t="str">
        <f aca="false">IF(OR($D233="",$H233=0),"",$E233/$H233)</f>
        <v/>
      </c>
      <c r="P233" s="17" t="str">
        <f aca="false">IF(OR($D233="",$J233=0),"",($E233+$K233)/$J233)</f>
        <v/>
      </c>
      <c r="Q233" s="20"/>
    </row>
    <row r="234" customFormat="false" ht="15" hidden="false" customHeight="false" outlineLevel="0" collapsed="false">
      <c r="A234" s="13"/>
      <c r="B234" s="13"/>
      <c r="C234" s="13"/>
      <c r="D234" s="14"/>
      <c r="E234" s="15"/>
      <c r="F234" s="16"/>
      <c r="G234" s="16"/>
      <c r="H234" s="16"/>
      <c r="I234" s="16"/>
      <c r="J234" s="16"/>
      <c r="K234" s="15"/>
      <c r="L234" s="17" t="str">
        <f aca="false">IF(OR($D234="",$F234=0),"",$E234/$F234)</f>
        <v/>
      </c>
      <c r="M234" s="18" t="str">
        <f aca="false">IF(OR($D234="",$F234=0),"",$G234/$F234)</f>
        <v/>
      </c>
      <c r="N234" s="18" t="str">
        <f aca="false">IF(OR($D234="",$F234=0),"",$H234/$F234)</f>
        <v/>
      </c>
      <c r="O234" s="17" t="str">
        <f aca="false">IF(OR($D234="",$H234=0),"",$E234/$H234)</f>
        <v/>
      </c>
      <c r="P234" s="17" t="str">
        <f aca="false">IF(OR($D234="",$J234=0),"",($E234+$K234)/$J234)</f>
        <v/>
      </c>
      <c r="Q234" s="20"/>
    </row>
    <row r="235" customFormat="false" ht="15" hidden="false" customHeight="false" outlineLevel="0" collapsed="false">
      <c r="A235" s="13"/>
      <c r="B235" s="13"/>
      <c r="C235" s="13"/>
      <c r="D235" s="14"/>
      <c r="E235" s="15"/>
      <c r="F235" s="16"/>
      <c r="G235" s="16"/>
      <c r="H235" s="16"/>
      <c r="I235" s="16"/>
      <c r="J235" s="16"/>
      <c r="K235" s="15"/>
      <c r="L235" s="17" t="str">
        <f aca="false">IF(OR($D235="",$F235=0),"",$E235/$F235)</f>
        <v/>
      </c>
      <c r="M235" s="18" t="str">
        <f aca="false">IF(OR($D235="",$F235=0),"",$G235/$F235)</f>
        <v/>
      </c>
      <c r="N235" s="18" t="str">
        <f aca="false">IF(OR($D235="",$F235=0),"",$H235/$F235)</f>
        <v/>
      </c>
      <c r="O235" s="17" t="str">
        <f aca="false">IF(OR($D235="",$H235=0),"",$E235/$H235)</f>
        <v/>
      </c>
      <c r="P235" s="17" t="str">
        <f aca="false">IF(OR($D235="",$J235=0),"",($E235+$K235)/$J235)</f>
        <v/>
      </c>
      <c r="Q235" s="20"/>
    </row>
    <row r="236" customFormat="false" ht="15" hidden="false" customHeight="false" outlineLevel="0" collapsed="false">
      <c r="A236" s="13"/>
      <c r="B236" s="13"/>
      <c r="C236" s="13"/>
      <c r="D236" s="14"/>
      <c r="E236" s="15"/>
      <c r="F236" s="16"/>
      <c r="G236" s="16"/>
      <c r="H236" s="16"/>
      <c r="I236" s="16"/>
      <c r="J236" s="16"/>
      <c r="K236" s="15"/>
      <c r="L236" s="17" t="str">
        <f aca="false">IF(OR($D236="",$F236=0),"",$E236/$F236)</f>
        <v/>
      </c>
      <c r="M236" s="18" t="str">
        <f aca="false">IF(OR($D236="",$F236=0),"",$G236/$F236)</f>
        <v/>
      </c>
      <c r="N236" s="18" t="str">
        <f aca="false">IF(OR($D236="",$F236=0),"",$H236/$F236)</f>
        <v/>
      </c>
      <c r="O236" s="17" t="str">
        <f aca="false">IF(OR($D236="",$H236=0),"",$E236/$H236)</f>
        <v/>
      </c>
      <c r="P236" s="17" t="str">
        <f aca="false">IF(OR($D236="",$J236=0),"",($E236+$K236)/$J236)</f>
        <v/>
      </c>
      <c r="Q236" s="20"/>
    </row>
    <row r="237" customFormat="false" ht="15" hidden="false" customHeight="false" outlineLevel="0" collapsed="false">
      <c r="A237" s="13"/>
      <c r="B237" s="13"/>
      <c r="C237" s="13"/>
      <c r="D237" s="14"/>
      <c r="E237" s="15"/>
      <c r="F237" s="16"/>
      <c r="G237" s="16"/>
      <c r="H237" s="16"/>
      <c r="I237" s="16"/>
      <c r="J237" s="16"/>
      <c r="K237" s="15"/>
      <c r="L237" s="17" t="str">
        <f aca="false">IF(OR($D237="",$F237=0),"",$E237/$F237)</f>
        <v/>
      </c>
      <c r="M237" s="18" t="str">
        <f aca="false">IF(OR($D237="",$F237=0),"",$G237/$F237)</f>
        <v/>
      </c>
      <c r="N237" s="18" t="str">
        <f aca="false">IF(OR($D237="",$F237=0),"",$H237/$F237)</f>
        <v/>
      </c>
      <c r="O237" s="17" t="str">
        <f aca="false">IF(OR($D237="",$H237=0),"",$E237/$H237)</f>
        <v/>
      </c>
      <c r="P237" s="17" t="str">
        <f aca="false">IF(OR($D237="",$J237=0),"",($E237+$K237)/$J237)</f>
        <v/>
      </c>
      <c r="Q237" s="20"/>
    </row>
    <row r="238" customFormat="false" ht="15" hidden="false" customHeight="false" outlineLevel="0" collapsed="false">
      <c r="A238" s="13"/>
      <c r="B238" s="13"/>
      <c r="C238" s="13"/>
      <c r="D238" s="14"/>
      <c r="E238" s="15"/>
      <c r="F238" s="16"/>
      <c r="G238" s="16"/>
      <c r="H238" s="16"/>
      <c r="I238" s="16"/>
      <c r="J238" s="16"/>
      <c r="K238" s="15"/>
      <c r="L238" s="17" t="str">
        <f aca="false">IF(OR($D238="",$F238=0),"",$E238/$F238)</f>
        <v/>
      </c>
      <c r="M238" s="18" t="str">
        <f aca="false">IF(OR($D238="",$F238=0),"",$G238/$F238)</f>
        <v/>
      </c>
      <c r="N238" s="18" t="str">
        <f aca="false">IF(OR($D238="",$F238=0),"",$H238/$F238)</f>
        <v/>
      </c>
      <c r="O238" s="17" t="str">
        <f aca="false">IF(OR($D238="",$H238=0),"",$E238/$H238)</f>
        <v/>
      </c>
      <c r="P238" s="17" t="str">
        <f aca="false">IF(OR($D238="",$J238=0),"",($E238+$K238)/$J238)</f>
        <v/>
      </c>
      <c r="Q238" s="20"/>
    </row>
    <row r="239" customFormat="false" ht="15" hidden="false" customHeight="false" outlineLevel="0" collapsed="false">
      <c r="A239" s="13"/>
      <c r="B239" s="13"/>
      <c r="C239" s="13"/>
      <c r="D239" s="14"/>
      <c r="E239" s="15"/>
      <c r="F239" s="16"/>
      <c r="G239" s="16"/>
      <c r="H239" s="16"/>
      <c r="I239" s="16"/>
      <c r="J239" s="16"/>
      <c r="K239" s="15"/>
      <c r="L239" s="17" t="str">
        <f aca="false">IF(OR($D239="",$F239=0),"",$E239/$F239)</f>
        <v/>
      </c>
      <c r="M239" s="18" t="str">
        <f aca="false">IF(OR($D239="",$F239=0),"",$G239/$F239)</f>
        <v/>
      </c>
      <c r="N239" s="18" t="str">
        <f aca="false">IF(OR($D239="",$F239=0),"",$H239/$F239)</f>
        <v/>
      </c>
      <c r="O239" s="17" t="str">
        <f aca="false">IF(OR($D239="",$H239=0),"",$E239/$H239)</f>
        <v/>
      </c>
      <c r="P239" s="17" t="str">
        <f aca="false">IF(OR($D239="",$J239=0),"",($E239+$K239)/$J239)</f>
        <v/>
      </c>
      <c r="Q239" s="20"/>
    </row>
    <row r="240" customFormat="false" ht="15" hidden="false" customHeight="false" outlineLevel="0" collapsed="false">
      <c r="A240" s="13"/>
      <c r="B240" s="13"/>
      <c r="C240" s="13"/>
      <c r="D240" s="14"/>
      <c r="E240" s="15"/>
      <c r="F240" s="16"/>
      <c r="G240" s="16"/>
      <c r="H240" s="16"/>
      <c r="I240" s="16"/>
      <c r="J240" s="16"/>
      <c r="K240" s="15"/>
      <c r="L240" s="17" t="str">
        <f aca="false">IF(OR($D240="",$F240=0),"",$E240/$F240)</f>
        <v/>
      </c>
      <c r="M240" s="18" t="str">
        <f aca="false">IF(OR($D240="",$F240=0),"",$G240/$F240)</f>
        <v/>
      </c>
      <c r="N240" s="18" t="str">
        <f aca="false">IF(OR($D240="",$F240=0),"",$H240/$F240)</f>
        <v/>
      </c>
      <c r="O240" s="17" t="str">
        <f aca="false">IF(OR($D240="",$H240=0),"",$E240/$H240)</f>
        <v/>
      </c>
      <c r="P240" s="17" t="str">
        <f aca="false">IF(OR($D240="",$J240=0),"",($E240+$K240)/$J240)</f>
        <v/>
      </c>
      <c r="Q240" s="20"/>
    </row>
    <row r="241" customFormat="false" ht="15" hidden="false" customHeight="false" outlineLevel="0" collapsed="false">
      <c r="A241" s="13"/>
      <c r="B241" s="13"/>
      <c r="C241" s="13"/>
      <c r="D241" s="14"/>
      <c r="E241" s="15"/>
      <c r="F241" s="16"/>
      <c r="G241" s="16"/>
      <c r="H241" s="16"/>
      <c r="I241" s="16"/>
      <c r="J241" s="16"/>
      <c r="K241" s="15"/>
      <c r="L241" s="17" t="str">
        <f aca="false">IF(OR($D241="",$F241=0),"",$E241/$F241)</f>
        <v/>
      </c>
      <c r="M241" s="18" t="str">
        <f aca="false">IF(OR($D241="",$F241=0),"",$G241/$F241)</f>
        <v/>
      </c>
      <c r="N241" s="18" t="str">
        <f aca="false">IF(OR($D241="",$F241=0),"",$H241/$F241)</f>
        <v/>
      </c>
      <c r="O241" s="17" t="str">
        <f aca="false">IF(OR($D241="",$H241=0),"",$E241/$H241)</f>
        <v/>
      </c>
      <c r="P241" s="17" t="str">
        <f aca="false">IF(OR($D241="",$J241=0),"",($E241+$K241)/$J241)</f>
        <v/>
      </c>
      <c r="Q241" s="20"/>
    </row>
    <row r="242" customFormat="false" ht="15" hidden="false" customHeight="false" outlineLevel="0" collapsed="false">
      <c r="A242" s="13"/>
      <c r="B242" s="13"/>
      <c r="C242" s="13"/>
      <c r="D242" s="14"/>
      <c r="E242" s="15"/>
      <c r="F242" s="16"/>
      <c r="G242" s="16"/>
      <c r="H242" s="16"/>
      <c r="I242" s="16"/>
      <c r="J242" s="16"/>
      <c r="K242" s="15"/>
      <c r="L242" s="17" t="str">
        <f aca="false">IF(OR($D242="",$F242=0),"",$E242/$F242)</f>
        <v/>
      </c>
      <c r="M242" s="18" t="str">
        <f aca="false">IF(OR($D242="",$F242=0),"",$G242/$F242)</f>
        <v/>
      </c>
      <c r="N242" s="18" t="str">
        <f aca="false">IF(OR($D242="",$F242=0),"",$H242/$F242)</f>
        <v/>
      </c>
      <c r="O242" s="17" t="str">
        <f aca="false">IF(OR($D242="",$H242=0),"",$E242/$H242)</f>
        <v/>
      </c>
      <c r="P242" s="17" t="str">
        <f aca="false">IF(OR($D242="",$J242=0),"",($E242+$K242)/$J242)</f>
        <v/>
      </c>
      <c r="Q242" s="20"/>
    </row>
    <row r="243" customFormat="false" ht="15" hidden="false" customHeight="false" outlineLevel="0" collapsed="false">
      <c r="A243" s="13"/>
      <c r="B243" s="13"/>
      <c r="C243" s="13"/>
      <c r="D243" s="14"/>
      <c r="E243" s="15"/>
      <c r="F243" s="16"/>
      <c r="G243" s="16"/>
      <c r="H243" s="16"/>
      <c r="I243" s="16"/>
      <c r="J243" s="16"/>
      <c r="K243" s="15"/>
      <c r="L243" s="17" t="str">
        <f aca="false">IF(OR($D243="",$F243=0),"",$E243/$F243)</f>
        <v/>
      </c>
      <c r="M243" s="18" t="str">
        <f aca="false">IF(OR($D243="",$F243=0),"",$G243/$F243)</f>
        <v/>
      </c>
      <c r="N243" s="18" t="str">
        <f aca="false">IF(OR($D243="",$F243=0),"",$H243/$F243)</f>
        <v/>
      </c>
      <c r="O243" s="17" t="str">
        <f aca="false">IF(OR($D243="",$H243=0),"",$E243/$H243)</f>
        <v/>
      </c>
      <c r="P243" s="17" t="str">
        <f aca="false">IF(OR($D243="",$J243=0),"",($E243+$K243)/$J243)</f>
        <v/>
      </c>
      <c r="Q243" s="20"/>
    </row>
    <row r="244" customFormat="false" ht="15" hidden="false" customHeight="false" outlineLevel="0" collapsed="false">
      <c r="A244" s="13"/>
      <c r="B244" s="13"/>
      <c r="C244" s="13"/>
      <c r="D244" s="14"/>
      <c r="E244" s="15"/>
      <c r="F244" s="16"/>
      <c r="G244" s="16"/>
      <c r="H244" s="16"/>
      <c r="I244" s="16"/>
      <c r="J244" s="16"/>
      <c r="K244" s="15"/>
      <c r="L244" s="17" t="str">
        <f aca="false">IF(OR($D244="",$F244=0),"",$E244/$F244)</f>
        <v/>
      </c>
      <c r="M244" s="18" t="str">
        <f aca="false">IF(OR($D244="",$F244=0),"",$G244/$F244)</f>
        <v/>
      </c>
      <c r="N244" s="18" t="str">
        <f aca="false">IF(OR($D244="",$F244=0),"",$H244/$F244)</f>
        <v/>
      </c>
      <c r="O244" s="17" t="str">
        <f aca="false">IF(OR($D244="",$H244=0),"",$E244/$H244)</f>
        <v/>
      </c>
      <c r="P244" s="17" t="str">
        <f aca="false">IF(OR($D244="",$J244=0),"",($E244+$K244)/$J244)</f>
        <v/>
      </c>
      <c r="Q244" s="20"/>
    </row>
    <row r="245" customFormat="false" ht="15" hidden="false" customHeight="false" outlineLevel="0" collapsed="false">
      <c r="A245" s="13"/>
      <c r="B245" s="13"/>
      <c r="C245" s="13"/>
      <c r="D245" s="14"/>
      <c r="E245" s="15"/>
      <c r="F245" s="16"/>
      <c r="G245" s="16"/>
      <c r="H245" s="16"/>
      <c r="I245" s="16"/>
      <c r="J245" s="16"/>
      <c r="K245" s="15"/>
      <c r="L245" s="17" t="str">
        <f aca="false">IF(OR($D245="",$F245=0),"",$E245/$F245)</f>
        <v/>
      </c>
      <c r="M245" s="18" t="str">
        <f aca="false">IF(OR($D245="",$F245=0),"",$G245/$F245)</f>
        <v/>
      </c>
      <c r="N245" s="18" t="str">
        <f aca="false">IF(OR($D245="",$F245=0),"",$H245/$F245)</f>
        <v/>
      </c>
      <c r="O245" s="17" t="str">
        <f aca="false">IF(OR($D245="",$H245=0),"",$E245/$H245)</f>
        <v/>
      </c>
      <c r="P245" s="17" t="str">
        <f aca="false">IF(OR($D245="",$J245=0),"",($E245+$K245)/$J245)</f>
        <v/>
      </c>
      <c r="Q245" s="20"/>
    </row>
    <row r="246" customFormat="false" ht="15" hidden="false" customHeight="false" outlineLevel="0" collapsed="false">
      <c r="A246" s="13"/>
      <c r="B246" s="13"/>
      <c r="C246" s="13"/>
      <c r="D246" s="14"/>
      <c r="E246" s="15"/>
      <c r="F246" s="16"/>
      <c r="G246" s="16"/>
      <c r="H246" s="16"/>
      <c r="I246" s="16"/>
      <c r="J246" s="16"/>
      <c r="K246" s="15"/>
      <c r="L246" s="17" t="str">
        <f aca="false">IF(OR($D246="",$F246=0),"",$E246/$F246)</f>
        <v/>
      </c>
      <c r="M246" s="18" t="str">
        <f aca="false">IF(OR($D246="",$F246=0),"",$G246/$F246)</f>
        <v/>
      </c>
      <c r="N246" s="18" t="str">
        <f aca="false">IF(OR($D246="",$F246=0),"",$H246/$F246)</f>
        <v/>
      </c>
      <c r="O246" s="17" t="str">
        <f aca="false">IF(OR($D246="",$H246=0),"",$E246/$H246)</f>
        <v/>
      </c>
      <c r="P246" s="17" t="str">
        <f aca="false">IF(OR($D246="",$J246=0),"",($E246+$K246)/$J246)</f>
        <v/>
      </c>
      <c r="Q246" s="20"/>
    </row>
    <row r="247" customFormat="false" ht="15" hidden="false" customHeight="false" outlineLevel="0" collapsed="false">
      <c r="A247" s="13"/>
      <c r="B247" s="13"/>
      <c r="C247" s="13"/>
      <c r="D247" s="14"/>
      <c r="E247" s="15"/>
      <c r="F247" s="16"/>
      <c r="G247" s="16"/>
      <c r="H247" s="16"/>
      <c r="I247" s="16"/>
      <c r="J247" s="16"/>
      <c r="K247" s="15"/>
      <c r="L247" s="17" t="str">
        <f aca="false">IF(OR($D247="",$F247=0),"",$E247/$F247)</f>
        <v/>
      </c>
      <c r="M247" s="18" t="str">
        <f aca="false">IF(OR($D247="",$F247=0),"",$G247/$F247)</f>
        <v/>
      </c>
      <c r="N247" s="18" t="str">
        <f aca="false">IF(OR($D247="",$F247=0),"",$H247/$F247)</f>
        <v/>
      </c>
      <c r="O247" s="17" t="str">
        <f aca="false">IF(OR($D247="",$H247=0),"",$E247/$H247)</f>
        <v/>
      </c>
      <c r="P247" s="17" t="str">
        <f aca="false">IF(OR($D247="",$J247=0),"",($E247+$K247)/$J247)</f>
        <v/>
      </c>
      <c r="Q247" s="20"/>
    </row>
    <row r="248" customFormat="false" ht="15" hidden="false" customHeight="false" outlineLevel="0" collapsed="false">
      <c r="A248" s="13"/>
      <c r="B248" s="13"/>
      <c r="C248" s="13"/>
      <c r="D248" s="14"/>
      <c r="E248" s="15"/>
      <c r="F248" s="16"/>
      <c r="G248" s="16"/>
      <c r="H248" s="16"/>
      <c r="I248" s="16"/>
      <c r="J248" s="16"/>
      <c r="K248" s="15"/>
      <c r="L248" s="17" t="str">
        <f aca="false">IF(OR($D248="",$F248=0),"",$E248/$F248)</f>
        <v/>
      </c>
      <c r="M248" s="18" t="str">
        <f aca="false">IF(OR($D248="",$F248=0),"",$G248/$F248)</f>
        <v/>
      </c>
      <c r="N248" s="18" t="str">
        <f aca="false">IF(OR($D248="",$F248=0),"",$H248/$F248)</f>
        <v/>
      </c>
      <c r="O248" s="17" t="str">
        <f aca="false">IF(OR($D248="",$H248=0),"",$E248/$H248)</f>
        <v/>
      </c>
      <c r="P248" s="17" t="str">
        <f aca="false">IF(OR($D248="",$J248=0),"",($E248+$K248)/$J248)</f>
        <v/>
      </c>
      <c r="Q248" s="20"/>
    </row>
    <row r="249" customFormat="false" ht="15" hidden="false" customHeight="false" outlineLevel="0" collapsed="false">
      <c r="A249" s="13"/>
      <c r="B249" s="13"/>
      <c r="C249" s="13"/>
      <c r="D249" s="14"/>
      <c r="E249" s="15"/>
      <c r="F249" s="16"/>
      <c r="G249" s="16"/>
      <c r="H249" s="16"/>
      <c r="I249" s="16"/>
      <c r="J249" s="16"/>
      <c r="K249" s="15"/>
      <c r="L249" s="17" t="str">
        <f aca="false">IF(OR($D249="",$F249=0),"",$E249/$F249)</f>
        <v/>
      </c>
      <c r="M249" s="18" t="str">
        <f aca="false">IF(OR($D249="",$F249=0),"",$G249/$F249)</f>
        <v/>
      </c>
      <c r="N249" s="18" t="str">
        <f aca="false">IF(OR($D249="",$F249=0),"",$H249/$F249)</f>
        <v/>
      </c>
      <c r="O249" s="17" t="str">
        <f aca="false">IF(OR($D249="",$H249=0),"",$E249/$H249)</f>
        <v/>
      </c>
      <c r="P249" s="17" t="str">
        <f aca="false">IF(OR($D249="",$J249=0),"",($E249+$K249)/$J249)</f>
        <v/>
      </c>
      <c r="Q249" s="20"/>
    </row>
    <row r="250" customFormat="false" ht="15" hidden="false" customHeight="false" outlineLevel="0" collapsed="false">
      <c r="A250" s="13"/>
      <c r="B250" s="13"/>
      <c r="C250" s="13"/>
      <c r="D250" s="14"/>
      <c r="E250" s="15"/>
      <c r="F250" s="16"/>
      <c r="G250" s="16"/>
      <c r="H250" s="16"/>
      <c r="I250" s="16"/>
      <c r="J250" s="16"/>
      <c r="K250" s="15"/>
      <c r="L250" s="17" t="str">
        <f aca="false">IF(OR($D250="",$F250=0),"",$E250/$F250)</f>
        <v/>
      </c>
      <c r="M250" s="18" t="str">
        <f aca="false">IF(OR($D250="",$F250=0),"",$G250/$F250)</f>
        <v/>
      </c>
      <c r="N250" s="18" t="str">
        <f aca="false">IF(OR($D250="",$F250=0),"",$H250/$F250)</f>
        <v/>
      </c>
      <c r="O250" s="17" t="str">
        <f aca="false">IF(OR($D250="",$H250=0),"",$E250/$H250)</f>
        <v/>
      </c>
      <c r="P250" s="17" t="str">
        <f aca="false">IF(OR($D250="",$J250=0),"",($E250+$K250)/$J250)</f>
        <v/>
      </c>
      <c r="Q250" s="20"/>
    </row>
    <row r="251" customFormat="false" ht="15" hidden="false" customHeight="false" outlineLevel="0" collapsed="false">
      <c r="A251" s="13"/>
      <c r="B251" s="13"/>
      <c r="C251" s="13"/>
      <c r="D251" s="14"/>
      <c r="E251" s="15"/>
      <c r="F251" s="16"/>
      <c r="G251" s="16"/>
      <c r="H251" s="16"/>
      <c r="I251" s="16"/>
      <c r="J251" s="16"/>
      <c r="K251" s="15"/>
      <c r="L251" s="17" t="str">
        <f aca="false">IF(OR($D251="",$F251=0),"",$E251/$F251)</f>
        <v/>
      </c>
      <c r="M251" s="18" t="str">
        <f aca="false">IF(OR($D251="",$F251=0),"",$G251/$F251)</f>
        <v/>
      </c>
      <c r="N251" s="18" t="str">
        <f aca="false">IF(OR($D251="",$F251=0),"",$H251/$F251)</f>
        <v/>
      </c>
      <c r="O251" s="17" t="str">
        <f aca="false">IF(OR($D251="",$H251=0),"",$E251/$H251)</f>
        <v/>
      </c>
      <c r="P251" s="17" t="str">
        <f aca="false">IF(OR($D251="",$J251=0),"",($E251+$K251)/$J251)</f>
        <v/>
      </c>
      <c r="Q251" s="20"/>
    </row>
    <row r="252" customFormat="false" ht="15" hidden="false" customHeight="false" outlineLevel="0" collapsed="false">
      <c r="A252" s="13"/>
      <c r="B252" s="13"/>
      <c r="C252" s="13"/>
      <c r="D252" s="14"/>
      <c r="E252" s="15"/>
      <c r="F252" s="16"/>
      <c r="G252" s="16"/>
      <c r="H252" s="16"/>
      <c r="I252" s="16"/>
      <c r="J252" s="16"/>
      <c r="K252" s="15"/>
      <c r="L252" s="17" t="str">
        <f aca="false">IF(OR($D252="",$F252=0),"",$E252/$F252)</f>
        <v/>
      </c>
      <c r="M252" s="18" t="str">
        <f aca="false">IF(OR($D252="",$F252=0),"",$G252/$F252)</f>
        <v/>
      </c>
      <c r="N252" s="18" t="str">
        <f aca="false">IF(OR($D252="",$F252=0),"",$H252/$F252)</f>
        <v/>
      </c>
      <c r="O252" s="17" t="str">
        <f aca="false">IF(OR($D252="",$H252=0),"",$E252/$H252)</f>
        <v/>
      </c>
      <c r="P252" s="17" t="str">
        <f aca="false">IF(OR($D252="",$J252=0),"",($E252+$K252)/$J252)</f>
        <v/>
      </c>
      <c r="Q252" s="20"/>
    </row>
    <row r="253" customFormat="false" ht="15" hidden="false" customHeight="false" outlineLevel="0" collapsed="false">
      <c r="A253" s="13"/>
      <c r="B253" s="13"/>
      <c r="C253" s="13"/>
      <c r="D253" s="14"/>
      <c r="E253" s="15"/>
      <c r="F253" s="16"/>
      <c r="G253" s="16"/>
      <c r="H253" s="16"/>
      <c r="I253" s="16"/>
      <c r="J253" s="16"/>
      <c r="K253" s="15"/>
      <c r="L253" s="17" t="str">
        <f aca="false">IF(OR($D253="",$F253=0),"",$E253/$F253)</f>
        <v/>
      </c>
      <c r="M253" s="18" t="str">
        <f aca="false">IF(OR($D253="",$F253=0),"",$G253/$F253)</f>
        <v/>
      </c>
      <c r="N253" s="18" t="str">
        <f aca="false">IF(OR($D253="",$F253=0),"",$H253/$F253)</f>
        <v/>
      </c>
      <c r="O253" s="17" t="str">
        <f aca="false">IF(OR($D253="",$H253=0),"",$E253/$H253)</f>
        <v/>
      </c>
      <c r="P253" s="17" t="str">
        <f aca="false">IF(OR($D253="",$J253=0),"",($E253+$K253)/$J253)</f>
        <v/>
      </c>
      <c r="Q253" s="20"/>
    </row>
    <row r="254" customFormat="false" ht="15" hidden="false" customHeight="false" outlineLevel="0" collapsed="false">
      <c r="A254" s="13"/>
      <c r="B254" s="13"/>
      <c r="C254" s="13"/>
      <c r="D254" s="14"/>
      <c r="E254" s="15"/>
      <c r="F254" s="16"/>
      <c r="G254" s="16"/>
      <c r="H254" s="16"/>
      <c r="I254" s="16"/>
      <c r="J254" s="16"/>
      <c r="K254" s="15"/>
      <c r="L254" s="17" t="str">
        <f aca="false">IF(OR($D254="",$F254=0),"",$E254/$F254)</f>
        <v/>
      </c>
      <c r="M254" s="18" t="str">
        <f aca="false">IF(OR($D254="",$F254=0),"",$G254/$F254)</f>
        <v/>
      </c>
      <c r="N254" s="18" t="str">
        <f aca="false">IF(OR($D254="",$F254=0),"",$H254/$F254)</f>
        <v/>
      </c>
      <c r="O254" s="17" t="str">
        <f aca="false">IF(OR($D254="",$H254=0),"",$E254/$H254)</f>
        <v/>
      </c>
      <c r="P254" s="17" t="str">
        <f aca="false">IF(OR($D254="",$J254=0),"",($E254+$K254)/$J254)</f>
        <v/>
      </c>
      <c r="Q254" s="20"/>
    </row>
    <row r="255" customFormat="false" ht="15" hidden="false" customHeight="false" outlineLevel="0" collapsed="false">
      <c r="A255" s="13"/>
      <c r="B255" s="13"/>
      <c r="C255" s="13"/>
      <c r="D255" s="14"/>
      <c r="E255" s="15"/>
      <c r="F255" s="16"/>
      <c r="G255" s="16"/>
      <c r="H255" s="16"/>
      <c r="I255" s="16"/>
      <c r="J255" s="16"/>
      <c r="K255" s="15"/>
      <c r="L255" s="17" t="str">
        <f aca="false">IF(OR($D255="",$F255=0),"",$E255/$F255)</f>
        <v/>
      </c>
      <c r="M255" s="18" t="str">
        <f aca="false">IF(OR($D255="",$F255=0),"",$G255/$F255)</f>
        <v/>
      </c>
      <c r="N255" s="18" t="str">
        <f aca="false">IF(OR($D255="",$F255=0),"",$H255/$F255)</f>
        <v/>
      </c>
      <c r="O255" s="17" t="str">
        <f aca="false">IF(OR($D255="",$H255=0),"",$E255/$H255)</f>
        <v/>
      </c>
      <c r="P255" s="17" t="str">
        <f aca="false">IF(OR($D255="",$J255=0),"",($E255+$K255)/$J255)</f>
        <v/>
      </c>
      <c r="Q255" s="20"/>
    </row>
    <row r="256" customFormat="false" ht="15" hidden="false" customHeight="false" outlineLevel="0" collapsed="false">
      <c r="A256" s="13"/>
      <c r="B256" s="13"/>
      <c r="C256" s="13"/>
      <c r="D256" s="14"/>
      <c r="E256" s="15"/>
      <c r="F256" s="16"/>
      <c r="G256" s="16"/>
      <c r="H256" s="16"/>
      <c r="I256" s="16"/>
      <c r="J256" s="16"/>
      <c r="K256" s="15"/>
      <c r="L256" s="17" t="str">
        <f aca="false">IF(OR($D256="",$F256=0),"",$E256/$F256)</f>
        <v/>
      </c>
      <c r="M256" s="18" t="str">
        <f aca="false">IF(OR($D256="",$F256=0),"",$G256/$F256)</f>
        <v/>
      </c>
      <c r="N256" s="18" t="str">
        <f aca="false">IF(OR($D256="",$F256=0),"",$H256/$F256)</f>
        <v/>
      </c>
      <c r="O256" s="17" t="str">
        <f aca="false">IF(OR($D256="",$H256=0),"",$E256/$H256)</f>
        <v/>
      </c>
      <c r="P256" s="17" t="str">
        <f aca="false">IF(OR($D256="",$J256=0),"",($E256+$K256)/$J256)</f>
        <v/>
      </c>
      <c r="Q256" s="20"/>
    </row>
    <row r="257" customFormat="false" ht="15" hidden="false" customHeight="false" outlineLevel="0" collapsed="false">
      <c r="A257" s="13"/>
      <c r="B257" s="13"/>
      <c r="C257" s="13"/>
      <c r="D257" s="14"/>
      <c r="E257" s="15"/>
      <c r="F257" s="16"/>
      <c r="G257" s="16"/>
      <c r="H257" s="16"/>
      <c r="I257" s="16"/>
      <c r="J257" s="16"/>
      <c r="K257" s="15"/>
      <c r="L257" s="17" t="str">
        <f aca="false">IF(OR($D257="",$F257=0),"",$E257/$F257)</f>
        <v/>
      </c>
      <c r="M257" s="18" t="str">
        <f aca="false">IF(OR($D257="",$F257=0),"",$G257/$F257)</f>
        <v/>
      </c>
      <c r="N257" s="18" t="str">
        <f aca="false">IF(OR($D257="",$F257=0),"",$H257/$F257)</f>
        <v/>
      </c>
      <c r="O257" s="17" t="str">
        <f aca="false">IF(OR($D257="",$H257=0),"",$E257/$H257)</f>
        <v/>
      </c>
      <c r="P257" s="17" t="str">
        <f aca="false">IF(OR($D257="",$J257=0),"",($E257+$K257)/$J257)</f>
        <v/>
      </c>
      <c r="Q257" s="20"/>
    </row>
    <row r="258" customFormat="false" ht="15" hidden="false" customHeight="false" outlineLevel="0" collapsed="false">
      <c r="A258" s="13"/>
      <c r="B258" s="13"/>
      <c r="C258" s="13"/>
      <c r="D258" s="14"/>
      <c r="E258" s="15"/>
      <c r="F258" s="16"/>
      <c r="G258" s="16"/>
      <c r="H258" s="16"/>
      <c r="I258" s="16"/>
      <c r="J258" s="16"/>
      <c r="K258" s="15"/>
      <c r="L258" s="17" t="str">
        <f aca="false">IF(OR($D258="",$F258=0),"",$E258/$F258)</f>
        <v/>
      </c>
      <c r="M258" s="18" t="str">
        <f aca="false">IF(OR($D258="",$F258=0),"",$G258/$F258)</f>
        <v/>
      </c>
      <c r="N258" s="18" t="str">
        <f aca="false">IF(OR($D258="",$F258=0),"",$H258/$F258)</f>
        <v/>
      </c>
      <c r="O258" s="17" t="str">
        <f aca="false">IF(OR($D258="",$H258=0),"",$E258/$H258)</f>
        <v/>
      </c>
      <c r="P258" s="17" t="str">
        <f aca="false">IF(OR($D258="",$J258=0),"",($E258+$K258)/$J258)</f>
        <v/>
      </c>
      <c r="Q258" s="20"/>
    </row>
    <row r="259" customFormat="false" ht="15" hidden="false" customHeight="false" outlineLevel="0" collapsed="false">
      <c r="A259" s="13"/>
      <c r="B259" s="13"/>
      <c r="C259" s="13"/>
      <c r="D259" s="14"/>
      <c r="E259" s="15"/>
      <c r="F259" s="16"/>
      <c r="G259" s="16"/>
      <c r="H259" s="16"/>
      <c r="I259" s="16"/>
      <c r="J259" s="16"/>
      <c r="K259" s="15"/>
      <c r="L259" s="17" t="str">
        <f aca="false">IF(OR($D259="",$F259=0),"",$E259/$F259)</f>
        <v/>
      </c>
      <c r="M259" s="18" t="str">
        <f aca="false">IF(OR($D259="",$F259=0),"",$G259/$F259)</f>
        <v/>
      </c>
      <c r="N259" s="18" t="str">
        <f aca="false">IF(OR($D259="",$F259=0),"",$H259/$F259)</f>
        <v/>
      </c>
      <c r="O259" s="17" t="str">
        <f aca="false">IF(OR($D259="",$H259=0),"",$E259/$H259)</f>
        <v/>
      </c>
      <c r="P259" s="17" t="str">
        <f aca="false">IF(OR($D259="",$J259=0),"",($E259+$K259)/$J259)</f>
        <v/>
      </c>
      <c r="Q259" s="20"/>
    </row>
    <row r="260" customFormat="false" ht="15" hidden="false" customHeight="false" outlineLevel="0" collapsed="false">
      <c r="A260" s="13"/>
      <c r="B260" s="13"/>
      <c r="C260" s="13"/>
      <c r="D260" s="14"/>
      <c r="E260" s="15"/>
      <c r="F260" s="16"/>
      <c r="G260" s="16"/>
      <c r="H260" s="16"/>
      <c r="I260" s="16"/>
      <c r="J260" s="16"/>
      <c r="K260" s="15"/>
      <c r="L260" s="17" t="str">
        <f aca="false">IF(OR($D260="",$F260=0),"",$E260/$F260)</f>
        <v/>
      </c>
      <c r="M260" s="18" t="str">
        <f aca="false">IF(OR($D260="",$F260=0),"",$G260/$F260)</f>
        <v/>
      </c>
      <c r="N260" s="18" t="str">
        <f aca="false">IF(OR($D260="",$F260=0),"",$H260/$F260)</f>
        <v/>
      </c>
      <c r="O260" s="17" t="str">
        <f aca="false">IF(OR($D260="",$H260=0),"",$E260/$H260)</f>
        <v/>
      </c>
      <c r="P260" s="17" t="str">
        <f aca="false">IF(OR($D260="",$J260=0),"",($E260+$K260)/$J260)</f>
        <v/>
      </c>
      <c r="Q260" s="20"/>
    </row>
    <row r="261" customFormat="false" ht="15" hidden="false" customHeight="false" outlineLevel="0" collapsed="false">
      <c r="A261" s="13"/>
      <c r="B261" s="13"/>
      <c r="C261" s="13"/>
      <c r="D261" s="14"/>
      <c r="E261" s="15"/>
      <c r="F261" s="16"/>
      <c r="G261" s="16"/>
      <c r="H261" s="16"/>
      <c r="I261" s="16"/>
      <c r="J261" s="16"/>
      <c r="K261" s="15"/>
      <c r="L261" s="17" t="str">
        <f aca="false">IF(OR($D261="",$F261=0),"",$E261/$F261)</f>
        <v/>
      </c>
      <c r="M261" s="18" t="str">
        <f aca="false">IF(OR($D261="",$F261=0),"",$G261/$F261)</f>
        <v/>
      </c>
      <c r="N261" s="18" t="str">
        <f aca="false">IF(OR($D261="",$F261=0),"",$H261/$F261)</f>
        <v/>
      </c>
      <c r="O261" s="17" t="str">
        <f aca="false">IF(OR($D261="",$H261=0),"",$E261/$H261)</f>
        <v/>
      </c>
      <c r="P261" s="17" t="str">
        <f aca="false">IF(OR($D261="",$J261=0),"",($E261+$K261)/$J261)</f>
        <v/>
      </c>
      <c r="Q261" s="20"/>
    </row>
    <row r="262" customFormat="false" ht="15" hidden="false" customHeight="false" outlineLevel="0" collapsed="false">
      <c r="A262" s="13"/>
      <c r="B262" s="13"/>
      <c r="C262" s="13"/>
      <c r="D262" s="14"/>
      <c r="E262" s="15"/>
      <c r="F262" s="16"/>
      <c r="G262" s="16"/>
      <c r="H262" s="16"/>
      <c r="I262" s="16"/>
      <c r="J262" s="16"/>
      <c r="K262" s="15"/>
      <c r="L262" s="17" t="str">
        <f aca="false">IF(OR($D262="",$F262=0),"",$E262/$F262)</f>
        <v/>
      </c>
      <c r="M262" s="18" t="str">
        <f aca="false">IF(OR($D262="",$F262=0),"",$G262/$F262)</f>
        <v/>
      </c>
      <c r="N262" s="18" t="str">
        <f aca="false">IF(OR($D262="",$F262=0),"",$H262/$F262)</f>
        <v/>
      </c>
      <c r="O262" s="17" t="str">
        <f aca="false">IF(OR($D262="",$H262=0),"",$E262/$H262)</f>
        <v/>
      </c>
      <c r="P262" s="17" t="str">
        <f aca="false">IF(OR($D262="",$J262=0),"",($E262+$K262)/$J262)</f>
        <v/>
      </c>
      <c r="Q262" s="20"/>
    </row>
    <row r="263" customFormat="false" ht="15" hidden="false" customHeight="false" outlineLevel="0" collapsed="false">
      <c r="A263" s="13"/>
      <c r="B263" s="13"/>
      <c r="C263" s="13"/>
      <c r="D263" s="14"/>
      <c r="E263" s="15"/>
      <c r="F263" s="16"/>
      <c r="G263" s="16"/>
      <c r="H263" s="16"/>
      <c r="I263" s="16"/>
      <c r="J263" s="16"/>
      <c r="K263" s="15"/>
      <c r="L263" s="17" t="str">
        <f aca="false">IF(OR($D263="",$F263=0),"",$E263/$F263)</f>
        <v/>
      </c>
      <c r="M263" s="18" t="str">
        <f aca="false">IF(OR($D263="",$F263=0),"",$G263/$F263)</f>
        <v/>
      </c>
      <c r="N263" s="18" t="str">
        <f aca="false">IF(OR($D263="",$F263=0),"",$H263/$F263)</f>
        <v/>
      </c>
      <c r="O263" s="17" t="str">
        <f aca="false">IF(OR($D263="",$H263=0),"",$E263/$H263)</f>
        <v/>
      </c>
      <c r="P263" s="17" t="str">
        <f aca="false">IF(OR($D263="",$J263=0),"",($E263+$K263)/$J263)</f>
        <v/>
      </c>
      <c r="Q263" s="20"/>
    </row>
    <row r="264" customFormat="false" ht="15" hidden="false" customHeight="false" outlineLevel="0" collapsed="false">
      <c r="A264" s="13"/>
      <c r="B264" s="13"/>
      <c r="C264" s="13"/>
      <c r="D264" s="14"/>
      <c r="E264" s="15"/>
      <c r="F264" s="16"/>
      <c r="G264" s="16"/>
      <c r="H264" s="16"/>
      <c r="I264" s="16"/>
      <c r="J264" s="16"/>
      <c r="K264" s="15"/>
      <c r="L264" s="17" t="str">
        <f aca="false">IF(OR($D264="",$F264=0),"",$E264/$F264)</f>
        <v/>
      </c>
      <c r="M264" s="18" t="str">
        <f aca="false">IF(OR($D264="",$F264=0),"",$G264/$F264)</f>
        <v/>
      </c>
      <c r="N264" s="18" t="str">
        <f aca="false">IF(OR($D264="",$F264=0),"",$H264/$F264)</f>
        <v/>
      </c>
      <c r="O264" s="17" t="str">
        <f aca="false">IF(OR($D264="",$H264=0),"",$E264/$H264)</f>
        <v/>
      </c>
      <c r="P264" s="17" t="str">
        <f aca="false">IF(OR($D264="",$J264=0),"",($E264+$K264)/$J264)</f>
        <v/>
      </c>
      <c r="Q264" s="20"/>
    </row>
    <row r="265" customFormat="false" ht="15" hidden="false" customHeight="false" outlineLevel="0" collapsed="false">
      <c r="A265" s="13"/>
      <c r="B265" s="13"/>
      <c r="C265" s="13"/>
      <c r="D265" s="14"/>
      <c r="E265" s="15"/>
      <c r="F265" s="16"/>
      <c r="G265" s="16"/>
      <c r="H265" s="16"/>
      <c r="I265" s="16"/>
      <c r="J265" s="16"/>
      <c r="K265" s="15"/>
      <c r="L265" s="17" t="str">
        <f aca="false">IF(OR($D265="",$F265=0),"",$E265/$F265)</f>
        <v/>
      </c>
      <c r="M265" s="18" t="str">
        <f aca="false">IF(OR($D265="",$F265=0),"",$G265/$F265)</f>
        <v/>
      </c>
      <c r="N265" s="18" t="str">
        <f aca="false">IF(OR($D265="",$F265=0),"",$H265/$F265)</f>
        <v/>
      </c>
      <c r="O265" s="17" t="str">
        <f aca="false">IF(OR($D265="",$H265=0),"",$E265/$H265)</f>
        <v/>
      </c>
      <c r="P265" s="17" t="str">
        <f aca="false">IF(OR($D265="",$J265=0),"",($E265+$K265)/$J265)</f>
        <v/>
      </c>
      <c r="Q265" s="20"/>
    </row>
    <row r="266" customFormat="false" ht="15" hidden="false" customHeight="false" outlineLevel="0" collapsed="false">
      <c r="A266" s="13"/>
      <c r="B266" s="13"/>
      <c r="C266" s="13"/>
      <c r="D266" s="14"/>
      <c r="E266" s="15"/>
      <c r="F266" s="16"/>
      <c r="G266" s="16"/>
      <c r="H266" s="16"/>
      <c r="I266" s="16"/>
      <c r="J266" s="16"/>
      <c r="K266" s="15"/>
      <c r="L266" s="17" t="str">
        <f aca="false">IF(OR($D266="",$F266=0),"",$E266/$F266)</f>
        <v/>
      </c>
      <c r="M266" s="18" t="str">
        <f aca="false">IF(OR($D266="",$F266=0),"",$G266/$F266)</f>
        <v/>
      </c>
      <c r="N266" s="18" t="str">
        <f aca="false">IF(OR($D266="",$F266=0),"",$H266/$F266)</f>
        <v/>
      </c>
      <c r="O266" s="17" t="str">
        <f aca="false">IF(OR($D266="",$H266=0),"",$E266/$H266)</f>
        <v/>
      </c>
      <c r="P266" s="17" t="str">
        <f aca="false">IF(OR($D266="",$J266=0),"",($E266+$K266)/$J266)</f>
        <v/>
      </c>
      <c r="Q266" s="20"/>
    </row>
    <row r="267" customFormat="false" ht="15" hidden="false" customHeight="false" outlineLevel="0" collapsed="false">
      <c r="A267" s="13"/>
      <c r="B267" s="13"/>
      <c r="C267" s="13"/>
      <c r="D267" s="14"/>
      <c r="E267" s="15"/>
      <c r="F267" s="16"/>
      <c r="G267" s="16"/>
      <c r="H267" s="16"/>
      <c r="I267" s="16"/>
      <c r="J267" s="16"/>
      <c r="K267" s="15"/>
      <c r="L267" s="17" t="str">
        <f aca="false">IF(OR($D267="",$F267=0),"",$E267/$F267)</f>
        <v/>
      </c>
      <c r="M267" s="18" t="str">
        <f aca="false">IF(OR($D267="",$F267=0),"",$G267/$F267)</f>
        <v/>
      </c>
      <c r="N267" s="18" t="str">
        <f aca="false">IF(OR($D267="",$F267=0),"",$H267/$F267)</f>
        <v/>
      </c>
      <c r="O267" s="17" t="str">
        <f aca="false">IF(OR($D267="",$H267=0),"",$E267/$H267)</f>
        <v/>
      </c>
      <c r="P267" s="17" t="str">
        <f aca="false">IF(OR($D267="",$J267=0),"",($E267+$K267)/$J267)</f>
        <v/>
      </c>
      <c r="Q267" s="20"/>
    </row>
    <row r="268" customFormat="false" ht="15" hidden="false" customHeight="false" outlineLevel="0" collapsed="false">
      <c r="A268" s="13"/>
      <c r="B268" s="13"/>
      <c r="C268" s="13"/>
      <c r="D268" s="14"/>
      <c r="E268" s="15"/>
      <c r="F268" s="16"/>
      <c r="G268" s="16"/>
      <c r="H268" s="16"/>
      <c r="I268" s="16"/>
      <c r="J268" s="16"/>
      <c r="K268" s="15"/>
      <c r="L268" s="17" t="str">
        <f aca="false">IF(OR($D268="",$F268=0),"",$E268/$F268)</f>
        <v/>
      </c>
      <c r="M268" s="18" t="str">
        <f aca="false">IF(OR($D268="",$F268=0),"",$G268/$F268)</f>
        <v/>
      </c>
      <c r="N268" s="18" t="str">
        <f aca="false">IF(OR($D268="",$F268=0),"",$H268/$F268)</f>
        <v/>
      </c>
      <c r="O268" s="17" t="str">
        <f aca="false">IF(OR($D268="",$H268=0),"",$E268/$H268)</f>
        <v/>
      </c>
      <c r="P268" s="17" t="str">
        <f aca="false">IF(OR($D268="",$J268=0),"",($E268+$K268)/$J268)</f>
        <v/>
      </c>
      <c r="Q268" s="20"/>
    </row>
    <row r="269" customFormat="false" ht="15" hidden="false" customHeight="false" outlineLevel="0" collapsed="false">
      <c r="A269" s="13"/>
      <c r="B269" s="13"/>
      <c r="C269" s="13"/>
      <c r="D269" s="14"/>
      <c r="E269" s="15"/>
      <c r="F269" s="16"/>
      <c r="G269" s="16"/>
      <c r="H269" s="16"/>
      <c r="I269" s="16"/>
      <c r="J269" s="16"/>
      <c r="K269" s="15"/>
      <c r="L269" s="17" t="str">
        <f aca="false">IF(OR($D269="",$F269=0),"",$E269/$F269)</f>
        <v/>
      </c>
      <c r="M269" s="18" t="str">
        <f aca="false">IF(OR($D269="",$F269=0),"",$G269/$F269)</f>
        <v/>
      </c>
      <c r="N269" s="18" t="str">
        <f aca="false">IF(OR($D269="",$F269=0),"",$H269/$F269)</f>
        <v/>
      </c>
      <c r="O269" s="17" t="str">
        <f aca="false">IF(OR($D269="",$H269=0),"",$E269/$H269)</f>
        <v/>
      </c>
      <c r="P269" s="17" t="str">
        <f aca="false">IF(OR($D269="",$J269=0),"",($E269+$K269)/$J269)</f>
        <v/>
      </c>
      <c r="Q269" s="20"/>
    </row>
    <row r="270" customFormat="false" ht="15" hidden="false" customHeight="false" outlineLevel="0" collapsed="false">
      <c r="A270" s="13"/>
      <c r="B270" s="13"/>
      <c r="C270" s="13"/>
      <c r="D270" s="14"/>
      <c r="E270" s="15"/>
      <c r="F270" s="16"/>
      <c r="G270" s="16"/>
      <c r="H270" s="16"/>
      <c r="I270" s="16"/>
      <c r="J270" s="16"/>
      <c r="K270" s="15"/>
      <c r="L270" s="17" t="str">
        <f aca="false">IF(OR($D270="",$F270=0),"",$E270/$F270)</f>
        <v/>
      </c>
      <c r="M270" s="18" t="str">
        <f aca="false">IF(OR($D270="",$F270=0),"",$G270/$F270)</f>
        <v/>
      </c>
      <c r="N270" s="18" t="str">
        <f aca="false">IF(OR($D270="",$F270=0),"",$H270/$F270)</f>
        <v/>
      </c>
      <c r="O270" s="17" t="str">
        <f aca="false">IF(OR($D270="",$H270=0),"",$E270/$H270)</f>
        <v/>
      </c>
      <c r="P270" s="17" t="str">
        <f aca="false">IF(OR($D270="",$J270=0),"",($E270+$K270)/$J270)</f>
        <v/>
      </c>
      <c r="Q270" s="20"/>
    </row>
    <row r="271" customFormat="false" ht="15" hidden="false" customHeight="false" outlineLevel="0" collapsed="false">
      <c r="A271" s="13"/>
      <c r="B271" s="13"/>
      <c r="C271" s="13"/>
      <c r="D271" s="14"/>
      <c r="E271" s="15"/>
      <c r="F271" s="16"/>
      <c r="G271" s="16"/>
      <c r="H271" s="16"/>
      <c r="I271" s="16"/>
      <c r="J271" s="16"/>
      <c r="K271" s="15"/>
      <c r="L271" s="17" t="str">
        <f aca="false">IF(OR($D271="",$F271=0),"",$E271/$F271)</f>
        <v/>
      </c>
      <c r="M271" s="18" t="str">
        <f aca="false">IF(OR($D271="",$F271=0),"",$G271/$F271)</f>
        <v/>
      </c>
      <c r="N271" s="18" t="str">
        <f aca="false">IF(OR($D271="",$F271=0),"",$H271/$F271)</f>
        <v/>
      </c>
      <c r="O271" s="17" t="str">
        <f aca="false">IF(OR($D271="",$H271=0),"",$E271/$H271)</f>
        <v/>
      </c>
      <c r="P271" s="17" t="str">
        <f aca="false">IF(OR($D271="",$J271=0),"",($E271+$K271)/$J271)</f>
        <v/>
      </c>
      <c r="Q271" s="20"/>
    </row>
    <row r="272" customFormat="false" ht="15" hidden="false" customHeight="false" outlineLevel="0" collapsed="false">
      <c r="A272" s="13"/>
      <c r="B272" s="13"/>
      <c r="C272" s="13"/>
      <c r="D272" s="14"/>
      <c r="E272" s="15"/>
      <c r="F272" s="16"/>
      <c r="G272" s="16"/>
      <c r="H272" s="16"/>
      <c r="I272" s="16"/>
      <c r="J272" s="16"/>
      <c r="K272" s="15"/>
      <c r="L272" s="17" t="str">
        <f aca="false">IF(OR($D272="",$F272=0),"",$E272/$F272)</f>
        <v/>
      </c>
      <c r="M272" s="18" t="str">
        <f aca="false">IF(OR($D272="",$F272=0),"",$G272/$F272)</f>
        <v/>
      </c>
      <c r="N272" s="18" t="str">
        <f aca="false">IF(OR($D272="",$F272=0),"",$H272/$F272)</f>
        <v/>
      </c>
      <c r="O272" s="17" t="str">
        <f aca="false">IF(OR($D272="",$H272=0),"",$E272/$H272)</f>
        <v/>
      </c>
      <c r="P272" s="17" t="str">
        <f aca="false">IF(OR($D272="",$J272=0),"",($E272+$K272)/$J272)</f>
        <v/>
      </c>
      <c r="Q272" s="20"/>
    </row>
    <row r="273" customFormat="false" ht="15" hidden="false" customHeight="false" outlineLevel="0" collapsed="false">
      <c r="A273" s="13"/>
      <c r="B273" s="13"/>
      <c r="C273" s="13"/>
      <c r="D273" s="14"/>
      <c r="E273" s="15"/>
      <c r="F273" s="16"/>
      <c r="G273" s="16"/>
      <c r="H273" s="16"/>
      <c r="I273" s="16"/>
      <c r="J273" s="16"/>
      <c r="K273" s="15"/>
      <c r="L273" s="17" t="str">
        <f aca="false">IF(OR($D273="",$F273=0),"",$E273/$F273)</f>
        <v/>
      </c>
      <c r="M273" s="18" t="str">
        <f aca="false">IF(OR($D273="",$F273=0),"",$G273/$F273)</f>
        <v/>
      </c>
      <c r="N273" s="18" t="str">
        <f aca="false">IF(OR($D273="",$F273=0),"",$H273/$F273)</f>
        <v/>
      </c>
      <c r="O273" s="17" t="str">
        <f aca="false">IF(OR($D273="",$H273=0),"",$E273/$H273)</f>
        <v/>
      </c>
      <c r="P273" s="17" t="str">
        <f aca="false">IF(OR($D273="",$J273=0),"",($E273+$K273)/$J273)</f>
        <v/>
      </c>
      <c r="Q273" s="20"/>
    </row>
    <row r="274" customFormat="false" ht="15" hidden="false" customHeight="false" outlineLevel="0" collapsed="false">
      <c r="A274" s="13"/>
      <c r="B274" s="13"/>
      <c r="C274" s="13"/>
      <c r="D274" s="14"/>
      <c r="E274" s="15"/>
      <c r="F274" s="16"/>
      <c r="G274" s="16"/>
      <c r="H274" s="16"/>
      <c r="I274" s="16"/>
      <c r="J274" s="16"/>
      <c r="K274" s="15"/>
      <c r="L274" s="17" t="str">
        <f aca="false">IF(OR($D274="",$F274=0),"",$E274/$F274)</f>
        <v/>
      </c>
      <c r="M274" s="18" t="str">
        <f aca="false">IF(OR($D274="",$F274=0),"",$G274/$F274)</f>
        <v/>
      </c>
      <c r="N274" s="18" t="str">
        <f aca="false">IF(OR($D274="",$F274=0),"",$H274/$F274)</f>
        <v/>
      </c>
      <c r="O274" s="17" t="str">
        <f aca="false">IF(OR($D274="",$H274=0),"",$E274/$H274)</f>
        <v/>
      </c>
      <c r="P274" s="17" t="str">
        <f aca="false">IF(OR($D274="",$J274=0),"",($E274+$K274)/$J274)</f>
        <v/>
      </c>
      <c r="Q274" s="20"/>
    </row>
    <row r="275" customFormat="false" ht="15" hidden="false" customHeight="false" outlineLevel="0" collapsed="false">
      <c r="A275" s="13"/>
      <c r="B275" s="13"/>
      <c r="C275" s="13"/>
      <c r="D275" s="14"/>
      <c r="E275" s="15"/>
      <c r="F275" s="16"/>
      <c r="G275" s="16"/>
      <c r="H275" s="16"/>
      <c r="I275" s="16"/>
      <c r="J275" s="16"/>
      <c r="K275" s="15"/>
      <c r="L275" s="17" t="str">
        <f aca="false">IF(OR($D275="",$F275=0),"",$E275/$F275)</f>
        <v/>
      </c>
      <c r="M275" s="18" t="str">
        <f aca="false">IF(OR($D275="",$F275=0),"",$G275/$F275)</f>
        <v/>
      </c>
      <c r="N275" s="18" t="str">
        <f aca="false">IF(OR($D275="",$F275=0),"",$H275/$F275)</f>
        <v/>
      </c>
      <c r="O275" s="17" t="str">
        <f aca="false">IF(OR($D275="",$H275=0),"",$E275/$H275)</f>
        <v/>
      </c>
      <c r="P275" s="17" t="str">
        <f aca="false">IF(OR($D275="",$J275=0),"",($E275+$K275)/$J275)</f>
        <v/>
      </c>
      <c r="Q275" s="20"/>
    </row>
    <row r="276" customFormat="false" ht="15" hidden="false" customHeight="false" outlineLevel="0" collapsed="false">
      <c r="A276" s="13"/>
      <c r="B276" s="13"/>
      <c r="C276" s="13"/>
      <c r="D276" s="14"/>
      <c r="E276" s="15"/>
      <c r="F276" s="16"/>
      <c r="G276" s="16"/>
      <c r="H276" s="16"/>
      <c r="I276" s="16"/>
      <c r="J276" s="16"/>
      <c r="K276" s="15"/>
      <c r="L276" s="17" t="str">
        <f aca="false">IF(OR($D276="",$F276=0),"",$E276/$F276)</f>
        <v/>
      </c>
      <c r="M276" s="18" t="str">
        <f aca="false">IF(OR($D276="",$F276=0),"",$G276/$F276)</f>
        <v/>
      </c>
      <c r="N276" s="18" t="str">
        <f aca="false">IF(OR($D276="",$F276=0),"",$H276/$F276)</f>
        <v/>
      </c>
      <c r="O276" s="17" t="str">
        <f aca="false">IF(OR($D276="",$H276=0),"",$E276/$H276)</f>
        <v/>
      </c>
      <c r="P276" s="17" t="str">
        <f aca="false">IF(OR($D276="",$J276=0),"",($E276+$K276)/$J276)</f>
        <v/>
      </c>
      <c r="Q276" s="20"/>
    </row>
    <row r="277" customFormat="false" ht="15" hidden="false" customHeight="false" outlineLevel="0" collapsed="false">
      <c r="A277" s="13"/>
      <c r="B277" s="13"/>
      <c r="C277" s="13"/>
      <c r="D277" s="14"/>
      <c r="E277" s="15"/>
      <c r="F277" s="16"/>
      <c r="G277" s="16"/>
      <c r="H277" s="16"/>
      <c r="I277" s="16"/>
      <c r="J277" s="16"/>
      <c r="K277" s="15"/>
      <c r="L277" s="17" t="str">
        <f aca="false">IF(OR($D277="",$F277=0),"",$E277/$F277)</f>
        <v/>
      </c>
      <c r="M277" s="18" t="str">
        <f aca="false">IF(OR($D277="",$F277=0),"",$G277/$F277)</f>
        <v/>
      </c>
      <c r="N277" s="18" t="str">
        <f aca="false">IF(OR($D277="",$F277=0),"",$H277/$F277)</f>
        <v/>
      </c>
      <c r="O277" s="17" t="str">
        <f aca="false">IF(OR($D277="",$H277=0),"",$E277/$H277)</f>
        <v/>
      </c>
      <c r="P277" s="17" t="str">
        <f aca="false">IF(OR($D277="",$J277=0),"",($E277+$K277)/$J277)</f>
        <v/>
      </c>
      <c r="Q277" s="20"/>
    </row>
    <row r="278" customFormat="false" ht="15" hidden="false" customHeight="false" outlineLevel="0" collapsed="false">
      <c r="A278" s="13"/>
      <c r="B278" s="13"/>
      <c r="C278" s="13"/>
      <c r="D278" s="14"/>
      <c r="E278" s="15"/>
      <c r="F278" s="16"/>
      <c r="G278" s="16"/>
      <c r="H278" s="16"/>
      <c r="I278" s="16"/>
      <c r="J278" s="16"/>
      <c r="K278" s="15"/>
      <c r="L278" s="17" t="str">
        <f aca="false">IF(OR($D278="",$F278=0),"",$E278/$F278)</f>
        <v/>
      </c>
      <c r="M278" s="18" t="str">
        <f aca="false">IF(OR($D278="",$F278=0),"",$G278/$F278)</f>
        <v/>
      </c>
      <c r="N278" s="18" t="str">
        <f aca="false">IF(OR($D278="",$F278=0),"",$H278/$F278)</f>
        <v/>
      </c>
      <c r="O278" s="17" t="str">
        <f aca="false">IF(OR($D278="",$H278=0),"",$E278/$H278)</f>
        <v/>
      </c>
      <c r="P278" s="17" t="str">
        <f aca="false">IF(OR($D278="",$J278=0),"",($E278+$K278)/$J278)</f>
        <v/>
      </c>
      <c r="Q278" s="20"/>
    </row>
    <row r="279" customFormat="false" ht="15" hidden="false" customHeight="false" outlineLevel="0" collapsed="false">
      <c r="A279" s="13"/>
      <c r="B279" s="13"/>
      <c r="C279" s="13"/>
      <c r="D279" s="14"/>
      <c r="E279" s="15"/>
      <c r="F279" s="16"/>
      <c r="G279" s="16"/>
      <c r="H279" s="16"/>
      <c r="I279" s="16"/>
      <c r="J279" s="16"/>
      <c r="K279" s="15"/>
      <c r="L279" s="17" t="str">
        <f aca="false">IF(OR($D279="",$F279=0),"",$E279/$F279)</f>
        <v/>
      </c>
      <c r="M279" s="18" t="str">
        <f aca="false">IF(OR($D279="",$F279=0),"",$G279/$F279)</f>
        <v/>
      </c>
      <c r="N279" s="18" t="str">
        <f aca="false">IF(OR($D279="",$F279=0),"",$H279/$F279)</f>
        <v/>
      </c>
      <c r="O279" s="17" t="str">
        <f aca="false">IF(OR($D279="",$H279=0),"",$E279/$H279)</f>
        <v/>
      </c>
      <c r="P279" s="17" t="str">
        <f aca="false">IF(OR($D279="",$J279=0),"",($E279+$K279)/$J279)</f>
        <v/>
      </c>
      <c r="Q279" s="20"/>
    </row>
    <row r="280" customFormat="false" ht="15" hidden="false" customHeight="false" outlineLevel="0" collapsed="false">
      <c r="A280" s="13"/>
      <c r="B280" s="13"/>
      <c r="C280" s="13"/>
      <c r="D280" s="14"/>
      <c r="E280" s="15"/>
      <c r="F280" s="16"/>
      <c r="G280" s="16"/>
      <c r="H280" s="16"/>
      <c r="I280" s="16"/>
      <c r="J280" s="16"/>
      <c r="K280" s="15"/>
      <c r="L280" s="17" t="str">
        <f aca="false">IF(OR($D280="",$F280=0),"",$E280/$F280)</f>
        <v/>
      </c>
      <c r="M280" s="18" t="str">
        <f aca="false">IF(OR($D280="",$F280=0),"",$G280/$F280)</f>
        <v/>
      </c>
      <c r="N280" s="18" t="str">
        <f aca="false">IF(OR($D280="",$F280=0),"",$H280/$F280)</f>
        <v/>
      </c>
      <c r="O280" s="17" t="str">
        <f aca="false">IF(OR($D280="",$H280=0),"",$E280/$H280)</f>
        <v/>
      </c>
      <c r="P280" s="17" t="str">
        <f aca="false">IF(OR($D280="",$J280=0),"",($E280+$K280)/$J280)</f>
        <v/>
      </c>
      <c r="Q280" s="20"/>
    </row>
    <row r="281" customFormat="false" ht="15" hidden="false" customHeight="false" outlineLevel="0" collapsed="false">
      <c r="A281" s="13"/>
      <c r="B281" s="13"/>
      <c r="C281" s="13"/>
      <c r="D281" s="14"/>
      <c r="E281" s="15"/>
      <c r="F281" s="16"/>
      <c r="G281" s="16"/>
      <c r="H281" s="16"/>
      <c r="I281" s="16"/>
      <c r="J281" s="16"/>
      <c r="K281" s="15"/>
      <c r="L281" s="17" t="str">
        <f aca="false">IF(OR($D281="",$F281=0),"",$E281/$F281)</f>
        <v/>
      </c>
      <c r="M281" s="18" t="str">
        <f aca="false">IF(OR($D281="",$F281=0),"",$G281/$F281)</f>
        <v/>
      </c>
      <c r="N281" s="18" t="str">
        <f aca="false">IF(OR($D281="",$F281=0),"",$H281/$F281)</f>
        <v/>
      </c>
      <c r="O281" s="17" t="str">
        <f aca="false">IF(OR($D281="",$H281=0),"",$E281/$H281)</f>
        <v/>
      </c>
      <c r="P281" s="17" t="str">
        <f aca="false">IF(OR($D281="",$J281=0),"",($E281+$K281)/$J281)</f>
        <v/>
      </c>
      <c r="Q281" s="20"/>
    </row>
    <row r="282" customFormat="false" ht="15" hidden="false" customHeight="false" outlineLevel="0" collapsed="false">
      <c r="A282" s="13"/>
      <c r="B282" s="13"/>
      <c r="C282" s="13"/>
      <c r="D282" s="14"/>
      <c r="E282" s="15"/>
      <c r="F282" s="16"/>
      <c r="G282" s="16"/>
      <c r="H282" s="16"/>
      <c r="I282" s="16"/>
      <c r="J282" s="16"/>
      <c r="K282" s="15"/>
      <c r="L282" s="17" t="str">
        <f aca="false">IF(OR($D282="",$F282=0),"",$E282/$F282)</f>
        <v/>
      </c>
      <c r="M282" s="18" t="str">
        <f aca="false">IF(OR($D282="",$F282=0),"",$G282/$F282)</f>
        <v/>
      </c>
      <c r="N282" s="18" t="str">
        <f aca="false">IF(OR($D282="",$F282=0),"",$H282/$F282)</f>
        <v/>
      </c>
      <c r="O282" s="17" t="str">
        <f aca="false">IF(OR($D282="",$H282=0),"",$E282/$H282)</f>
        <v/>
      </c>
      <c r="P282" s="17" t="str">
        <f aca="false">IF(OR($D282="",$J282=0),"",($E282+$K282)/$J282)</f>
        <v/>
      </c>
      <c r="Q282" s="20"/>
    </row>
    <row r="283" customFormat="false" ht="15" hidden="false" customHeight="false" outlineLevel="0" collapsed="false">
      <c r="A283" s="13"/>
      <c r="B283" s="13"/>
      <c r="C283" s="13"/>
      <c r="D283" s="14"/>
      <c r="E283" s="15"/>
      <c r="F283" s="16"/>
      <c r="G283" s="16"/>
      <c r="H283" s="16"/>
      <c r="I283" s="16"/>
      <c r="J283" s="16"/>
      <c r="K283" s="15"/>
      <c r="L283" s="17" t="str">
        <f aca="false">IF(OR($D283="",$F283=0),"",$E283/$F283)</f>
        <v/>
      </c>
      <c r="M283" s="18" t="str">
        <f aca="false">IF(OR($D283="",$F283=0),"",$G283/$F283)</f>
        <v/>
      </c>
      <c r="N283" s="18" t="str">
        <f aca="false">IF(OR($D283="",$F283=0),"",$H283/$F283)</f>
        <v/>
      </c>
      <c r="O283" s="17" t="str">
        <f aca="false">IF(OR($D283="",$H283=0),"",$E283/$H283)</f>
        <v/>
      </c>
      <c r="P283" s="17" t="str">
        <f aca="false">IF(OR($D283="",$J283=0),"",($E283+$K283)/$J283)</f>
        <v/>
      </c>
      <c r="Q283" s="20"/>
    </row>
    <row r="284" customFormat="false" ht="15" hidden="false" customHeight="false" outlineLevel="0" collapsed="false">
      <c r="A284" s="13"/>
      <c r="B284" s="13"/>
      <c r="C284" s="13"/>
      <c r="D284" s="14"/>
      <c r="E284" s="15"/>
      <c r="F284" s="16"/>
      <c r="G284" s="16"/>
      <c r="H284" s="16"/>
      <c r="I284" s="16"/>
      <c r="J284" s="16"/>
      <c r="K284" s="15"/>
      <c r="L284" s="17" t="str">
        <f aca="false">IF(OR($D284="",$F284=0),"",$E284/$F284)</f>
        <v/>
      </c>
      <c r="M284" s="18" t="str">
        <f aca="false">IF(OR($D284="",$F284=0),"",$G284/$F284)</f>
        <v/>
      </c>
      <c r="N284" s="18" t="str">
        <f aca="false">IF(OR($D284="",$F284=0),"",$H284/$F284)</f>
        <v/>
      </c>
      <c r="O284" s="17" t="str">
        <f aca="false">IF(OR($D284="",$H284=0),"",$E284/$H284)</f>
        <v/>
      </c>
      <c r="P284" s="17" t="str">
        <f aca="false">IF(OR($D284="",$J284=0),"",($E284+$K284)/$J284)</f>
        <v/>
      </c>
      <c r="Q284" s="20"/>
    </row>
    <row r="285" customFormat="false" ht="15" hidden="false" customHeight="false" outlineLevel="0" collapsed="false">
      <c r="A285" s="13"/>
      <c r="B285" s="13"/>
      <c r="C285" s="13"/>
      <c r="D285" s="14"/>
      <c r="E285" s="15"/>
      <c r="F285" s="16"/>
      <c r="G285" s="16"/>
      <c r="H285" s="16"/>
      <c r="I285" s="16"/>
      <c r="J285" s="16"/>
      <c r="K285" s="15"/>
      <c r="L285" s="17" t="str">
        <f aca="false">IF(OR($D285="",$F285=0),"",$E285/$F285)</f>
        <v/>
      </c>
      <c r="M285" s="18" t="str">
        <f aca="false">IF(OR($D285="",$F285=0),"",$G285/$F285)</f>
        <v/>
      </c>
      <c r="N285" s="18" t="str">
        <f aca="false">IF(OR($D285="",$F285=0),"",$H285/$F285)</f>
        <v/>
      </c>
      <c r="O285" s="17" t="str">
        <f aca="false">IF(OR($D285="",$H285=0),"",$E285/$H285)</f>
        <v/>
      </c>
      <c r="P285" s="17" t="str">
        <f aca="false">IF(OR($D285="",$J285=0),"",($E285+$K285)/$J285)</f>
        <v/>
      </c>
      <c r="Q285" s="20"/>
    </row>
    <row r="286" customFormat="false" ht="15" hidden="false" customHeight="false" outlineLevel="0" collapsed="false">
      <c r="A286" s="13"/>
      <c r="B286" s="13"/>
      <c r="C286" s="13"/>
      <c r="D286" s="14"/>
      <c r="E286" s="15"/>
      <c r="F286" s="16"/>
      <c r="G286" s="16"/>
      <c r="H286" s="16"/>
      <c r="I286" s="16"/>
      <c r="J286" s="16"/>
      <c r="K286" s="15"/>
      <c r="L286" s="17" t="str">
        <f aca="false">IF(OR($D286="",$F286=0),"",$E286/$F286)</f>
        <v/>
      </c>
      <c r="M286" s="18" t="str">
        <f aca="false">IF(OR($D286="",$F286=0),"",$G286/$F286)</f>
        <v/>
      </c>
      <c r="N286" s="18" t="str">
        <f aca="false">IF(OR($D286="",$F286=0),"",$H286/$F286)</f>
        <v/>
      </c>
      <c r="O286" s="17" t="str">
        <f aca="false">IF(OR($D286="",$H286=0),"",$E286/$H286)</f>
        <v/>
      </c>
      <c r="P286" s="17" t="str">
        <f aca="false">IF(OR($D286="",$J286=0),"",($E286+$K286)/$J286)</f>
        <v/>
      </c>
      <c r="Q286" s="20"/>
    </row>
    <row r="287" customFormat="false" ht="15" hidden="false" customHeight="false" outlineLevel="0" collapsed="false">
      <c r="A287" s="13"/>
      <c r="B287" s="13"/>
      <c r="C287" s="13"/>
      <c r="D287" s="14"/>
      <c r="E287" s="15"/>
      <c r="F287" s="16"/>
      <c r="G287" s="16"/>
      <c r="H287" s="16"/>
      <c r="I287" s="16"/>
      <c r="J287" s="16"/>
      <c r="K287" s="15"/>
      <c r="L287" s="17" t="str">
        <f aca="false">IF(OR($D287="",$F287=0),"",$E287/$F287)</f>
        <v/>
      </c>
      <c r="M287" s="18" t="str">
        <f aca="false">IF(OR($D287="",$F287=0),"",$G287/$F287)</f>
        <v/>
      </c>
      <c r="N287" s="18" t="str">
        <f aca="false">IF(OR($D287="",$F287=0),"",$H287/$F287)</f>
        <v/>
      </c>
      <c r="O287" s="17" t="str">
        <f aca="false">IF(OR($D287="",$H287=0),"",$E287/$H287)</f>
        <v/>
      </c>
      <c r="P287" s="17" t="str">
        <f aca="false">IF(OR($D287="",$J287=0),"",($E287+$K287)/$J287)</f>
        <v/>
      </c>
      <c r="Q287" s="20"/>
    </row>
    <row r="288" customFormat="false" ht="15" hidden="false" customHeight="false" outlineLevel="0" collapsed="false">
      <c r="A288" s="13"/>
      <c r="B288" s="13"/>
      <c r="C288" s="13"/>
      <c r="D288" s="14"/>
      <c r="E288" s="15"/>
      <c r="F288" s="16"/>
      <c r="G288" s="16"/>
      <c r="H288" s="16"/>
      <c r="I288" s="16"/>
      <c r="J288" s="16"/>
      <c r="K288" s="15"/>
      <c r="L288" s="17" t="str">
        <f aca="false">IF(OR($D288="",$F288=0),"",$E288/$F288)</f>
        <v/>
      </c>
      <c r="M288" s="18" t="str">
        <f aca="false">IF(OR($D288="",$F288=0),"",$G288/$F288)</f>
        <v/>
      </c>
      <c r="N288" s="18" t="str">
        <f aca="false">IF(OR($D288="",$F288=0),"",$H288/$F288)</f>
        <v/>
      </c>
      <c r="O288" s="17" t="str">
        <f aca="false">IF(OR($D288="",$H288=0),"",$E288/$H288)</f>
        <v/>
      </c>
      <c r="P288" s="17" t="str">
        <f aca="false">IF(OR($D288="",$J288=0),"",($E288+$K288)/$J288)</f>
        <v/>
      </c>
      <c r="Q288" s="20"/>
    </row>
    <row r="289" customFormat="false" ht="15" hidden="false" customHeight="false" outlineLevel="0" collapsed="false">
      <c r="A289" s="13"/>
      <c r="B289" s="13"/>
      <c r="C289" s="13"/>
      <c r="D289" s="14"/>
      <c r="E289" s="15"/>
      <c r="F289" s="16"/>
      <c r="G289" s="16"/>
      <c r="H289" s="16"/>
      <c r="I289" s="16"/>
      <c r="J289" s="16"/>
      <c r="K289" s="15"/>
      <c r="L289" s="17" t="str">
        <f aca="false">IF(OR($D289="",$F289=0),"",$E289/$F289)</f>
        <v/>
      </c>
      <c r="M289" s="18" t="str">
        <f aca="false">IF(OR($D289="",$F289=0),"",$G289/$F289)</f>
        <v/>
      </c>
      <c r="N289" s="18" t="str">
        <f aca="false">IF(OR($D289="",$F289=0),"",$H289/$F289)</f>
        <v/>
      </c>
      <c r="O289" s="17" t="str">
        <f aca="false">IF(OR($D289="",$H289=0),"",$E289/$H289)</f>
        <v/>
      </c>
      <c r="P289" s="17" t="str">
        <f aca="false">IF(OR($D289="",$J289=0),"",($E289+$K289)/$J289)</f>
        <v/>
      </c>
      <c r="Q289" s="20"/>
    </row>
    <row r="290" customFormat="false" ht="15" hidden="false" customHeight="false" outlineLevel="0" collapsed="false">
      <c r="A290" s="13"/>
      <c r="B290" s="13"/>
      <c r="C290" s="13"/>
      <c r="D290" s="14"/>
      <c r="E290" s="15"/>
      <c r="F290" s="16"/>
      <c r="G290" s="16"/>
      <c r="H290" s="16"/>
      <c r="I290" s="16"/>
      <c r="J290" s="16"/>
      <c r="K290" s="15"/>
      <c r="L290" s="17" t="str">
        <f aca="false">IF(OR($D290="",$F290=0),"",$E290/$F290)</f>
        <v/>
      </c>
      <c r="M290" s="18" t="str">
        <f aca="false">IF(OR($D290="",$F290=0),"",$G290/$F290)</f>
        <v/>
      </c>
      <c r="N290" s="18" t="str">
        <f aca="false">IF(OR($D290="",$F290=0),"",$H290/$F290)</f>
        <v/>
      </c>
      <c r="O290" s="17" t="str">
        <f aca="false">IF(OR($D290="",$H290=0),"",$E290/$H290)</f>
        <v/>
      </c>
      <c r="P290" s="17" t="str">
        <f aca="false">IF(OR($D290="",$J290=0),"",($E290+$K290)/$J290)</f>
        <v/>
      </c>
      <c r="Q290" s="20"/>
    </row>
    <row r="291" customFormat="false" ht="15" hidden="false" customHeight="false" outlineLevel="0" collapsed="false">
      <c r="A291" s="13"/>
      <c r="B291" s="13"/>
      <c r="C291" s="13"/>
      <c r="D291" s="14"/>
      <c r="E291" s="15"/>
      <c r="F291" s="16"/>
      <c r="G291" s="16"/>
      <c r="H291" s="16"/>
      <c r="I291" s="16"/>
      <c r="J291" s="16"/>
      <c r="K291" s="15"/>
      <c r="L291" s="17" t="str">
        <f aca="false">IF(OR($D291="",$F291=0),"",$E291/$F291)</f>
        <v/>
      </c>
      <c r="M291" s="18" t="str">
        <f aca="false">IF(OR($D291="",$F291=0),"",$G291/$F291)</f>
        <v/>
      </c>
      <c r="N291" s="18" t="str">
        <f aca="false">IF(OR($D291="",$F291=0),"",$H291/$F291)</f>
        <v/>
      </c>
      <c r="O291" s="17" t="str">
        <f aca="false">IF(OR($D291="",$H291=0),"",$E291/$H291)</f>
        <v/>
      </c>
      <c r="P291" s="17" t="str">
        <f aca="false">IF(OR($D291="",$J291=0),"",($E291+$K291)/$J291)</f>
        <v/>
      </c>
      <c r="Q291" s="20"/>
    </row>
    <row r="292" customFormat="false" ht="15" hidden="false" customHeight="false" outlineLevel="0" collapsed="false">
      <c r="A292" s="13"/>
      <c r="B292" s="13"/>
      <c r="C292" s="13"/>
      <c r="D292" s="14"/>
      <c r="E292" s="15"/>
      <c r="F292" s="16"/>
      <c r="G292" s="16"/>
      <c r="H292" s="16"/>
      <c r="I292" s="16"/>
      <c r="J292" s="16"/>
      <c r="K292" s="15"/>
      <c r="L292" s="17" t="str">
        <f aca="false">IF(OR($D292="",$F292=0),"",$E292/$F292)</f>
        <v/>
      </c>
      <c r="M292" s="18" t="str">
        <f aca="false">IF(OR($D292="",$F292=0),"",$G292/$F292)</f>
        <v/>
      </c>
      <c r="N292" s="18" t="str">
        <f aca="false">IF(OR($D292="",$F292=0),"",$H292/$F292)</f>
        <v/>
      </c>
      <c r="O292" s="17" t="str">
        <f aca="false">IF(OR($D292="",$H292=0),"",$E292/$H292)</f>
        <v/>
      </c>
      <c r="P292" s="17" t="str">
        <f aca="false">IF(OR($D292="",$J292=0),"",($E292+$K292)/$J292)</f>
        <v/>
      </c>
      <c r="Q292" s="20"/>
    </row>
    <row r="293" customFormat="false" ht="15" hidden="false" customHeight="false" outlineLevel="0" collapsed="false">
      <c r="A293" s="13"/>
      <c r="B293" s="13"/>
      <c r="C293" s="13"/>
      <c r="D293" s="14"/>
      <c r="E293" s="15"/>
      <c r="F293" s="16"/>
      <c r="G293" s="16"/>
      <c r="H293" s="16"/>
      <c r="I293" s="16"/>
      <c r="J293" s="16"/>
      <c r="K293" s="15"/>
      <c r="L293" s="17" t="str">
        <f aca="false">IF(OR($D293="",$F293=0),"",$E293/$F293)</f>
        <v/>
      </c>
      <c r="M293" s="18" t="str">
        <f aca="false">IF(OR($D293="",$F293=0),"",$G293/$F293)</f>
        <v/>
      </c>
      <c r="N293" s="18" t="str">
        <f aca="false">IF(OR($D293="",$F293=0),"",$H293/$F293)</f>
        <v/>
      </c>
      <c r="O293" s="17" t="str">
        <f aca="false">IF(OR($D293="",$H293=0),"",$E293/$H293)</f>
        <v/>
      </c>
      <c r="P293" s="17" t="str">
        <f aca="false">IF(OR($D293="",$J293=0),"",($E293+$K293)/$J293)</f>
        <v/>
      </c>
      <c r="Q293" s="20"/>
    </row>
    <row r="294" customFormat="false" ht="15" hidden="false" customHeight="false" outlineLevel="0" collapsed="false">
      <c r="A294" s="13"/>
      <c r="B294" s="13"/>
      <c r="C294" s="13"/>
      <c r="D294" s="14"/>
      <c r="E294" s="15"/>
      <c r="F294" s="16"/>
      <c r="G294" s="16"/>
      <c r="H294" s="16"/>
      <c r="I294" s="16"/>
      <c r="J294" s="16"/>
      <c r="K294" s="15"/>
      <c r="L294" s="17" t="str">
        <f aca="false">IF(OR($D294="",$F294=0),"",$E294/$F294)</f>
        <v/>
      </c>
      <c r="M294" s="18" t="str">
        <f aca="false">IF(OR($D294="",$F294=0),"",$G294/$F294)</f>
        <v/>
      </c>
      <c r="N294" s="18" t="str">
        <f aca="false">IF(OR($D294="",$F294=0),"",$H294/$F294)</f>
        <v/>
      </c>
      <c r="O294" s="17" t="str">
        <f aca="false">IF(OR($D294="",$H294=0),"",$E294/$H294)</f>
        <v/>
      </c>
      <c r="P294" s="17" t="str">
        <f aca="false">IF(OR($D294="",$J294=0),"",($E294+$K294)/$J294)</f>
        <v/>
      </c>
      <c r="Q294" s="20"/>
    </row>
    <row r="295" customFormat="false" ht="15" hidden="false" customHeight="false" outlineLevel="0" collapsed="false">
      <c r="A295" s="13"/>
      <c r="B295" s="13"/>
      <c r="C295" s="13"/>
      <c r="D295" s="14"/>
      <c r="E295" s="15"/>
      <c r="F295" s="16"/>
      <c r="G295" s="16"/>
      <c r="H295" s="16"/>
      <c r="I295" s="16"/>
      <c r="J295" s="16"/>
      <c r="K295" s="15"/>
      <c r="L295" s="17" t="str">
        <f aca="false">IF(OR($D295="",$F295=0),"",$E295/$F295)</f>
        <v/>
      </c>
      <c r="M295" s="18" t="str">
        <f aca="false">IF(OR($D295="",$F295=0),"",$G295/$F295)</f>
        <v/>
      </c>
      <c r="N295" s="18" t="str">
        <f aca="false">IF(OR($D295="",$F295=0),"",$H295/$F295)</f>
        <v/>
      </c>
      <c r="O295" s="17" t="str">
        <f aca="false">IF(OR($D295="",$H295=0),"",$E295/$H295)</f>
        <v/>
      </c>
      <c r="P295" s="17" t="str">
        <f aca="false">IF(OR($D295="",$J295=0),"",($E295+$K295)/$J295)</f>
        <v/>
      </c>
      <c r="Q295" s="20"/>
    </row>
    <row r="296" customFormat="false" ht="15" hidden="false" customHeight="false" outlineLevel="0" collapsed="false">
      <c r="A296" s="13"/>
      <c r="B296" s="13"/>
      <c r="C296" s="13"/>
      <c r="D296" s="14"/>
      <c r="E296" s="15"/>
      <c r="F296" s="16"/>
      <c r="G296" s="16"/>
      <c r="H296" s="16"/>
      <c r="I296" s="16"/>
      <c r="J296" s="16"/>
      <c r="K296" s="15"/>
      <c r="L296" s="17" t="str">
        <f aca="false">IF(OR($D296="",$F296=0),"",$E296/$F296)</f>
        <v/>
      </c>
      <c r="M296" s="18" t="str">
        <f aca="false">IF(OR($D296="",$F296=0),"",$G296/$F296)</f>
        <v/>
      </c>
      <c r="N296" s="18" t="str">
        <f aca="false">IF(OR($D296="",$F296=0),"",$H296/$F296)</f>
        <v/>
      </c>
      <c r="O296" s="17" t="str">
        <f aca="false">IF(OR($D296="",$H296=0),"",$E296/$H296)</f>
        <v/>
      </c>
      <c r="P296" s="17" t="str">
        <f aca="false">IF(OR($D296="",$J296=0),"",($E296+$K296)/$J296)</f>
        <v/>
      </c>
      <c r="Q296" s="20"/>
    </row>
    <row r="297" customFormat="false" ht="15" hidden="false" customHeight="false" outlineLevel="0" collapsed="false">
      <c r="A297" s="13"/>
      <c r="B297" s="13"/>
      <c r="C297" s="13"/>
      <c r="D297" s="14"/>
      <c r="E297" s="15"/>
      <c r="F297" s="16"/>
      <c r="G297" s="16"/>
      <c r="H297" s="16"/>
      <c r="I297" s="16"/>
      <c r="J297" s="16"/>
      <c r="K297" s="15"/>
      <c r="L297" s="17" t="str">
        <f aca="false">IF(OR($D297="",$F297=0),"",$E297/$F297)</f>
        <v/>
      </c>
      <c r="M297" s="18" t="str">
        <f aca="false">IF(OR($D297="",$F297=0),"",$G297/$F297)</f>
        <v/>
      </c>
      <c r="N297" s="18" t="str">
        <f aca="false">IF(OR($D297="",$F297=0),"",$H297/$F297)</f>
        <v/>
      </c>
      <c r="O297" s="17" t="str">
        <f aca="false">IF(OR($D297="",$H297=0),"",$E297/$H297)</f>
        <v/>
      </c>
      <c r="P297" s="17" t="str">
        <f aca="false">IF(OR($D297="",$J297=0),"",($E297+$K297)/$J297)</f>
        <v/>
      </c>
      <c r="Q297" s="20"/>
    </row>
    <row r="298" customFormat="false" ht="15" hidden="false" customHeight="false" outlineLevel="0" collapsed="false">
      <c r="A298" s="13"/>
      <c r="B298" s="13"/>
      <c r="C298" s="13"/>
      <c r="D298" s="14"/>
      <c r="E298" s="15"/>
      <c r="F298" s="16"/>
      <c r="G298" s="16"/>
      <c r="H298" s="16"/>
      <c r="I298" s="16"/>
      <c r="J298" s="16"/>
      <c r="K298" s="15"/>
      <c r="L298" s="17" t="str">
        <f aca="false">IF(OR($D298="",$F298=0),"",$E298/$F298)</f>
        <v/>
      </c>
      <c r="M298" s="18" t="str">
        <f aca="false">IF(OR($D298="",$F298=0),"",$G298/$F298)</f>
        <v/>
      </c>
      <c r="N298" s="18" t="str">
        <f aca="false">IF(OR($D298="",$F298=0),"",$H298/$F298)</f>
        <v/>
      </c>
      <c r="O298" s="17" t="str">
        <f aca="false">IF(OR($D298="",$H298=0),"",$E298/$H298)</f>
        <v/>
      </c>
      <c r="P298" s="17" t="str">
        <f aca="false">IF(OR($D298="",$J298=0),"",($E298+$K298)/$J298)</f>
        <v/>
      </c>
      <c r="Q298" s="20"/>
    </row>
    <row r="299" customFormat="false" ht="15" hidden="false" customHeight="false" outlineLevel="0" collapsed="false">
      <c r="A299" s="13"/>
      <c r="B299" s="13"/>
      <c r="C299" s="13"/>
      <c r="D299" s="14"/>
      <c r="E299" s="15"/>
      <c r="F299" s="16"/>
      <c r="G299" s="16"/>
      <c r="H299" s="16"/>
      <c r="I299" s="16"/>
      <c r="J299" s="16"/>
      <c r="K299" s="15"/>
      <c r="L299" s="17" t="str">
        <f aca="false">IF(OR($D299="",$F299=0),"",$E299/$F299)</f>
        <v/>
      </c>
      <c r="M299" s="18" t="str">
        <f aca="false">IF(OR($D299="",$F299=0),"",$G299/$F299)</f>
        <v/>
      </c>
      <c r="N299" s="18" t="str">
        <f aca="false">IF(OR($D299="",$F299=0),"",$H299/$F299)</f>
        <v/>
      </c>
      <c r="O299" s="17" t="str">
        <f aca="false">IF(OR($D299="",$H299=0),"",$E299/$H299)</f>
        <v/>
      </c>
      <c r="P299" s="17" t="str">
        <f aca="false">IF(OR($D299="",$J299=0),"",($E299+$K299)/$J299)</f>
        <v/>
      </c>
      <c r="Q299" s="20"/>
    </row>
    <row r="300" customFormat="false" ht="15" hidden="false" customHeight="false" outlineLevel="0" collapsed="false">
      <c r="A300" s="13"/>
      <c r="B300" s="13"/>
      <c r="C300" s="13"/>
      <c r="D300" s="14"/>
      <c r="E300" s="15"/>
      <c r="F300" s="16"/>
      <c r="G300" s="16"/>
      <c r="H300" s="16"/>
      <c r="I300" s="16"/>
      <c r="J300" s="16"/>
      <c r="K300" s="15"/>
      <c r="L300" s="17" t="str">
        <f aca="false">IF(OR($D300="",$F300=0),"",$E300/$F300)</f>
        <v/>
      </c>
      <c r="M300" s="18" t="str">
        <f aca="false">IF(OR($D300="",$F300=0),"",$G300/$F300)</f>
        <v/>
      </c>
      <c r="N300" s="18" t="str">
        <f aca="false">IF(OR($D300="",$F300=0),"",$H300/$F300)</f>
        <v/>
      </c>
      <c r="O300" s="17" t="str">
        <f aca="false">IF(OR($D300="",$H300=0),"",$E300/$H300)</f>
        <v/>
      </c>
      <c r="P300" s="17" t="str">
        <f aca="false">IF(OR($D300="",$J300=0),"",($E300+$K300)/$J300)</f>
        <v/>
      </c>
      <c r="Q300" s="20"/>
    </row>
    <row r="301" customFormat="false" ht="15" hidden="false" customHeight="false" outlineLevel="0" collapsed="false">
      <c r="A301" s="13"/>
      <c r="B301" s="13"/>
      <c r="C301" s="13"/>
      <c r="D301" s="14"/>
      <c r="E301" s="15"/>
      <c r="F301" s="16"/>
      <c r="G301" s="16"/>
      <c r="H301" s="16"/>
      <c r="I301" s="16"/>
      <c r="J301" s="16"/>
      <c r="K301" s="15"/>
      <c r="L301" s="17" t="str">
        <f aca="false">IF(OR($D301="",$F301=0),"",$E301/$F301)</f>
        <v/>
      </c>
      <c r="M301" s="18" t="str">
        <f aca="false">IF(OR($D301="",$F301=0),"",$G301/$F301)</f>
        <v/>
      </c>
      <c r="N301" s="18" t="str">
        <f aca="false">IF(OR($D301="",$F301=0),"",$H301/$F301)</f>
        <v/>
      </c>
      <c r="O301" s="17" t="str">
        <f aca="false">IF(OR($D301="",$H301=0),"",$E301/$H301)</f>
        <v/>
      </c>
      <c r="P301" s="17" t="str">
        <f aca="false">IF(OR($D301="",$J301=0),"",($E301+$K301)/$J301)</f>
        <v/>
      </c>
      <c r="Q301" s="20"/>
    </row>
  </sheetData>
  <dataValidations count="1">
    <dataValidation allowBlank="true" errorStyle="stop" operator="between" showDropDown="false" showErrorMessage="false" showInputMessage="false" sqref="D2:D301" type="list">
      <formula1>"네이버파워링크,메타,네이버GFA,구매DB,블로그,클립,쇼츠,릴스,카카오숏폼,소개,기존고객,기타"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4"/>
    <col collapsed="false" customWidth="true" hidden="false" outlineLevel="0" max="4" min="3" style="0" width="8"/>
    <col collapsed="false" customWidth="true" hidden="false" outlineLevel="0" max="6" min="5" style="0" width="10"/>
    <col collapsed="false" customWidth="true" hidden="false" outlineLevel="0" max="7" min="7" style="0" width="8"/>
    <col collapsed="false" customWidth="true" hidden="false" outlineLevel="0" max="8" min="8" style="0" width="13"/>
    <col collapsed="false" customWidth="true" hidden="false" outlineLevel="0" max="9" min="9" style="0" width="12"/>
    <col collapsed="false" customWidth="true" hidden="false" outlineLevel="0" max="11" min="10" style="0" width="15"/>
    <col collapsed="false" customWidth="true" hidden="false" outlineLevel="0" max="13" min="12" style="0" width="22"/>
  </cols>
  <sheetData>
    <row r="1" customFormat="false" ht="28.35" hidden="false" customHeight="false" outlineLevel="0" collapsed="false">
      <c r="A1" s="12" t="s">
        <v>44</v>
      </c>
      <c r="B1" s="12" t="s">
        <v>66</v>
      </c>
      <c r="C1" s="12" t="s">
        <v>46</v>
      </c>
      <c r="D1" s="12" t="s">
        <v>47</v>
      </c>
      <c r="E1" s="12" t="s">
        <v>48</v>
      </c>
      <c r="F1" s="12" t="s">
        <v>49</v>
      </c>
      <c r="G1" s="12" t="s">
        <v>50</v>
      </c>
      <c r="H1" s="12" t="s">
        <v>51</v>
      </c>
      <c r="I1" s="12" t="s">
        <v>52</v>
      </c>
      <c r="J1" s="12" t="s">
        <v>55</v>
      </c>
      <c r="K1" s="12" t="s">
        <v>67</v>
      </c>
      <c r="L1" s="12" t="s">
        <v>68</v>
      </c>
      <c r="M1" s="12" t="s">
        <v>69</v>
      </c>
    </row>
    <row r="2" customFormat="false" ht="15" hidden="false" customHeight="false" outlineLevel="0" collapsed="false">
      <c r="A2" s="5" t="s">
        <v>60</v>
      </c>
      <c r="B2" s="21" t="n">
        <f aca="false">SUMIFS(주간기록!$E:$E,주간기록!$D:$D,$A2)</f>
        <v>250000</v>
      </c>
      <c r="C2" s="22" t="n">
        <f aca="false">SUMIFS(주간기록!$F:$F,주간기록!$D:$D,$A2)</f>
        <v>6</v>
      </c>
      <c r="D2" s="22" t="n">
        <f aca="false">SUMIFS(주간기록!$G:$G,주간기록!$D:$D,$A2)</f>
        <v>4</v>
      </c>
      <c r="E2" s="22" t="n">
        <f aca="false">SUMIFS(주간기록!$H:$H,주간기록!$D:$D,$A2)</f>
        <v>2</v>
      </c>
      <c r="F2" s="22" t="n">
        <f aca="false">SUMIFS(주간기록!$I:$I,주간기록!$D:$D,$A2)</f>
        <v>1</v>
      </c>
      <c r="G2" s="22" t="n">
        <f aca="false">SUMIFS(주간기록!$J:$J,주간기록!$D:$D,$A2)</f>
        <v>0</v>
      </c>
      <c r="H2" s="21" t="n">
        <f aca="false">SUMIFS(주간기록!$K:$K,주간기록!$D:$D,$A2)</f>
        <v>0</v>
      </c>
      <c r="I2" s="10" t="n">
        <f aca="false">IF(C2=0,"",B2/C2)</f>
        <v>41666.6666666667</v>
      </c>
      <c r="J2" s="10" t="n">
        <f aca="false">IF(E2=0,"",B2/E2)</f>
        <v>125000</v>
      </c>
      <c r="K2" s="10" t="str">
        <f aca="false">IF(G2=0,"",(B2+H2)/G2)</f>
        <v/>
      </c>
      <c r="L2" s="5" t="str">
        <f aca="false">IF(A2="구매DB","기준선(B)",IF(AND(B2=0,C2=0),"",IF(AND(B2&lt;가정!$B$7,C2&lt;가정!$B$8),"판단 보류",IF(E2=0,IF(B2&gt;=가정!$B$7,"중단 검토(유효상담 0)","판단 보류"),IF(B2/E2&gt;2*가정!$B$14,"중단",IF(B2/E2&lt;=가정!$B$14,"증액(주 20~30%)","유지·소재 1개 교체"))))))</f>
        <v>판단 보류</v>
      </c>
      <c r="M2" s="2" t="str">
        <f aca="false">IF(MAX(주간기록!$A:$A)&lt;가정!$B$9,"8주 차 이후 판정",IF(G2=0,IF(B2&gt;가정!$B$12,"중단 검토(계약 0)","-"),IF((B2+H2)/G2&gt;가정!$B$12,"중단","유지")))</f>
        <v>8주 차 이후 판정</v>
      </c>
    </row>
    <row r="3" customFormat="false" ht="15" hidden="false" customHeight="false" outlineLevel="0" collapsed="false">
      <c r="A3" s="5" t="s">
        <v>62</v>
      </c>
      <c r="B3" s="21" t="n">
        <f aca="false">SUMIFS(주간기록!$E:$E,주간기록!$D:$D,$A3)</f>
        <v>200000</v>
      </c>
      <c r="C3" s="22" t="n">
        <f aca="false">SUMIFS(주간기록!$F:$F,주간기록!$D:$D,$A3)</f>
        <v>5</v>
      </c>
      <c r="D3" s="22" t="n">
        <f aca="false">SUMIFS(주간기록!$G:$G,주간기록!$D:$D,$A3)</f>
        <v>2</v>
      </c>
      <c r="E3" s="22" t="n">
        <f aca="false">SUMIFS(주간기록!$H:$H,주간기록!$D:$D,$A3)</f>
        <v>1</v>
      </c>
      <c r="F3" s="22" t="n">
        <f aca="false">SUMIFS(주간기록!$I:$I,주간기록!$D:$D,$A3)</f>
        <v>0</v>
      </c>
      <c r="G3" s="22" t="n">
        <f aca="false">SUMIFS(주간기록!$J:$J,주간기록!$D:$D,$A3)</f>
        <v>0</v>
      </c>
      <c r="H3" s="21" t="n">
        <f aca="false">SUMIFS(주간기록!$K:$K,주간기록!$D:$D,$A3)</f>
        <v>0</v>
      </c>
      <c r="I3" s="10" t="n">
        <f aca="false">IF(C3=0,"",B3/C3)</f>
        <v>40000</v>
      </c>
      <c r="J3" s="10" t="n">
        <f aca="false">IF(E3=0,"",B3/E3)</f>
        <v>200000</v>
      </c>
      <c r="K3" s="10" t="str">
        <f aca="false">IF(G3=0,"",(B3+H3)/G3)</f>
        <v/>
      </c>
      <c r="L3" s="5" t="str">
        <f aca="false">IF(A3="구매DB","기준선(B)",IF(AND(B3=0,C3=0),"",IF(AND(B3&lt;가정!$B$7,C3&lt;가정!$B$8),"판단 보류",IF(E3=0,IF(B3&gt;=가정!$B$7,"중단 검토(유효상담 0)","판단 보류"),IF(B3/E3&gt;2*가정!$B$14,"중단",IF(B3/E3&lt;=가정!$B$14,"증액(주 20~30%)","유지·소재 1개 교체"))))))</f>
        <v>판단 보류</v>
      </c>
      <c r="M3" s="2" t="str">
        <f aca="false">IF(MAX(주간기록!$A:$A)&lt;가정!$B$9,"8주 차 이후 판정",IF(G3=0,IF(B3&gt;가정!$B$12,"중단 검토(계약 0)","-"),IF((B3+H3)/G3&gt;가정!$B$12,"중단","유지")))</f>
        <v>8주 차 이후 판정</v>
      </c>
    </row>
    <row r="4" customFormat="false" ht="15" hidden="false" customHeight="false" outlineLevel="0" collapsed="false">
      <c r="A4" s="5" t="s">
        <v>70</v>
      </c>
      <c r="B4" s="21" t="n">
        <f aca="false">SUMIFS(주간기록!$E:$E,주간기록!$D:$D,$A4)</f>
        <v>0</v>
      </c>
      <c r="C4" s="22" t="n">
        <f aca="false">SUMIFS(주간기록!$F:$F,주간기록!$D:$D,$A4)</f>
        <v>0</v>
      </c>
      <c r="D4" s="22" t="n">
        <f aca="false">SUMIFS(주간기록!$G:$G,주간기록!$D:$D,$A4)</f>
        <v>0</v>
      </c>
      <c r="E4" s="22" t="n">
        <f aca="false">SUMIFS(주간기록!$H:$H,주간기록!$D:$D,$A4)</f>
        <v>0</v>
      </c>
      <c r="F4" s="22" t="n">
        <f aca="false">SUMIFS(주간기록!$I:$I,주간기록!$D:$D,$A4)</f>
        <v>0</v>
      </c>
      <c r="G4" s="22" t="n">
        <f aca="false">SUMIFS(주간기록!$J:$J,주간기록!$D:$D,$A4)</f>
        <v>0</v>
      </c>
      <c r="H4" s="21" t="n">
        <f aca="false">SUMIFS(주간기록!$K:$K,주간기록!$D:$D,$A4)</f>
        <v>0</v>
      </c>
      <c r="I4" s="10" t="str">
        <f aca="false">IF(C4=0,"",B4/C4)</f>
        <v/>
      </c>
      <c r="J4" s="10" t="str">
        <f aca="false">IF(E4=0,"",B4/E4)</f>
        <v/>
      </c>
      <c r="K4" s="10" t="str">
        <f aca="false">IF(G4=0,"",(B4+H4)/G4)</f>
        <v/>
      </c>
      <c r="L4" s="5" t="str">
        <f aca="false">IF(A4="구매DB","기준선(B)",IF(AND(B4=0,C4=0),"",IF(AND(B4&lt;가정!$B$7,C4&lt;가정!$B$8),"판단 보류",IF(E4=0,IF(B4&gt;=가정!$B$7,"중단 검토(유효상담 0)","판단 보류"),IF(B4/E4&gt;2*가정!$B$14,"중단",IF(B4/E4&lt;=가정!$B$14,"증액(주 20~30%)","유지·소재 1개 교체"))))))</f>
        <v/>
      </c>
      <c r="M4" s="2" t="str">
        <f aca="false">IF(MAX(주간기록!$A:$A)&lt;가정!$B$9,"8주 차 이후 판정",IF(G4=0,IF(B4&gt;가정!$B$12,"중단 검토(계약 0)","-"),IF((B4+H4)/G4&gt;가정!$B$12,"중단","유지")))</f>
        <v>8주 차 이후 판정</v>
      </c>
    </row>
    <row r="5" customFormat="false" ht="15" hidden="false" customHeight="false" outlineLevel="0" collapsed="false">
      <c r="A5" s="5" t="s">
        <v>71</v>
      </c>
      <c r="B5" s="21" t="n">
        <f aca="false">SUMIFS(주간기록!$E:$E,주간기록!$D:$D,$A5)</f>
        <v>385000</v>
      </c>
      <c r="C5" s="22" t="n">
        <f aca="false">SUMIFS(주간기록!$F:$F,주간기록!$D:$D,$A5)</f>
        <v>10</v>
      </c>
      <c r="D5" s="22" t="n">
        <f aca="false">SUMIFS(주간기록!$G:$G,주간기록!$D:$D,$A5)</f>
        <v>4</v>
      </c>
      <c r="E5" s="22" t="n">
        <f aca="false">SUMIFS(주간기록!$H:$H,주간기록!$D:$D,$A5)</f>
        <v>2</v>
      </c>
      <c r="F5" s="22" t="n">
        <f aca="false">SUMIFS(주간기록!$I:$I,주간기록!$D:$D,$A5)</f>
        <v>1</v>
      </c>
      <c r="G5" s="22" t="n">
        <f aca="false">SUMIFS(주간기록!$J:$J,주간기록!$D:$D,$A5)</f>
        <v>0</v>
      </c>
      <c r="H5" s="21" t="n">
        <f aca="false">SUMIFS(주간기록!$K:$K,주간기록!$D:$D,$A5)</f>
        <v>0</v>
      </c>
      <c r="I5" s="10" t="n">
        <f aca="false">IF(C5=0,"",B5/C5)</f>
        <v>38500</v>
      </c>
      <c r="J5" s="10" t="n">
        <f aca="false">IF(E5=0,"",B5/E5)</f>
        <v>192500</v>
      </c>
      <c r="K5" s="10" t="str">
        <f aca="false">IF(G5=0,"",(B5+H5)/G5)</f>
        <v/>
      </c>
      <c r="L5" s="5" t="str">
        <f aca="false">IF(A5="구매DB","기준선(B)",IF(AND(B5=0,C5=0),"",IF(AND(B5&lt;가정!$B$7,C5&lt;가정!$B$8),"판단 보류",IF(E5=0,IF(B5&gt;=가정!$B$7,"중단 검토(유효상담 0)","판단 보류"),IF(B5/E5&gt;2*가정!$B$14,"중단",IF(B5/E5&lt;=가정!$B$14,"증액(주 20~30%)","유지·소재 1개 교체"))))))</f>
        <v>기준선(B)</v>
      </c>
      <c r="M5" s="2" t="str">
        <f aca="false">IF(MAX(주간기록!$A:$A)&lt;가정!$B$9,"8주 차 이후 판정",IF(G5=0,IF(B5&gt;가정!$B$12,"중단 검토(계약 0)","-"),IF((B5+H5)/G5&gt;가정!$B$12,"중단","유지")))</f>
        <v>8주 차 이후 판정</v>
      </c>
    </row>
    <row r="6" customFormat="false" ht="15" hidden="false" customHeight="false" outlineLevel="0" collapsed="false">
      <c r="A6" s="5" t="s">
        <v>72</v>
      </c>
      <c r="B6" s="21" t="n">
        <f aca="false">SUMIFS(주간기록!$E:$E,주간기록!$D:$D,$A6)</f>
        <v>0</v>
      </c>
      <c r="C6" s="22" t="n">
        <f aca="false">SUMIFS(주간기록!$F:$F,주간기록!$D:$D,$A6)</f>
        <v>0</v>
      </c>
      <c r="D6" s="22" t="n">
        <f aca="false">SUMIFS(주간기록!$G:$G,주간기록!$D:$D,$A6)</f>
        <v>0</v>
      </c>
      <c r="E6" s="22" t="n">
        <f aca="false">SUMIFS(주간기록!$H:$H,주간기록!$D:$D,$A6)</f>
        <v>0</v>
      </c>
      <c r="F6" s="22" t="n">
        <f aca="false">SUMIFS(주간기록!$I:$I,주간기록!$D:$D,$A6)</f>
        <v>0</v>
      </c>
      <c r="G6" s="22" t="n">
        <f aca="false">SUMIFS(주간기록!$J:$J,주간기록!$D:$D,$A6)</f>
        <v>0</v>
      </c>
      <c r="H6" s="21" t="n">
        <f aca="false">SUMIFS(주간기록!$K:$K,주간기록!$D:$D,$A6)</f>
        <v>0</v>
      </c>
      <c r="I6" s="10" t="str">
        <f aca="false">IF(C6=0,"",B6/C6)</f>
        <v/>
      </c>
      <c r="J6" s="10" t="str">
        <f aca="false">IF(E6=0,"",B6/E6)</f>
        <v/>
      </c>
      <c r="K6" s="10" t="str">
        <f aca="false">IF(G6=0,"",(B6+H6)/G6)</f>
        <v/>
      </c>
      <c r="L6" s="5" t="str">
        <f aca="false">IF(A6="구매DB","기준선(B)",IF(AND(B6=0,C6=0),"",IF(AND(B6&lt;가정!$B$7,C6&lt;가정!$B$8),"판단 보류",IF(E6=0,IF(B6&gt;=가정!$B$7,"중단 검토(유효상담 0)","판단 보류"),IF(B6/E6&gt;2*가정!$B$14,"중단",IF(B6/E6&lt;=가정!$B$14,"증액(주 20~30%)","유지·소재 1개 교체"))))))</f>
        <v/>
      </c>
      <c r="M6" s="2" t="str">
        <f aca="false">IF(MAX(주간기록!$A:$A)&lt;가정!$B$9,"8주 차 이후 판정",IF(G6=0,IF(B6&gt;가정!$B$12,"중단 검토(계약 0)","-"),IF((B6+H6)/G6&gt;가정!$B$12,"중단","유지")))</f>
        <v>8주 차 이후 판정</v>
      </c>
    </row>
    <row r="7" customFormat="false" ht="15" hidden="false" customHeight="false" outlineLevel="0" collapsed="false">
      <c r="A7" s="5" t="s">
        <v>73</v>
      </c>
      <c r="B7" s="21" t="n">
        <f aca="false">SUMIFS(주간기록!$E:$E,주간기록!$D:$D,$A7)</f>
        <v>0</v>
      </c>
      <c r="C7" s="22" t="n">
        <f aca="false">SUMIFS(주간기록!$F:$F,주간기록!$D:$D,$A7)</f>
        <v>0</v>
      </c>
      <c r="D7" s="22" t="n">
        <f aca="false">SUMIFS(주간기록!$G:$G,주간기록!$D:$D,$A7)</f>
        <v>0</v>
      </c>
      <c r="E7" s="22" t="n">
        <f aca="false">SUMIFS(주간기록!$H:$H,주간기록!$D:$D,$A7)</f>
        <v>0</v>
      </c>
      <c r="F7" s="22" t="n">
        <f aca="false">SUMIFS(주간기록!$I:$I,주간기록!$D:$D,$A7)</f>
        <v>0</v>
      </c>
      <c r="G7" s="22" t="n">
        <f aca="false">SUMIFS(주간기록!$J:$J,주간기록!$D:$D,$A7)</f>
        <v>0</v>
      </c>
      <c r="H7" s="21" t="n">
        <f aca="false">SUMIFS(주간기록!$K:$K,주간기록!$D:$D,$A7)</f>
        <v>0</v>
      </c>
      <c r="I7" s="10" t="str">
        <f aca="false">IF(C7=0,"",B7/C7)</f>
        <v/>
      </c>
      <c r="J7" s="10" t="str">
        <f aca="false">IF(E7=0,"",B7/E7)</f>
        <v/>
      </c>
      <c r="K7" s="10" t="str">
        <f aca="false">IF(G7=0,"",(B7+H7)/G7)</f>
        <v/>
      </c>
      <c r="L7" s="5" t="str">
        <f aca="false">IF(A7="구매DB","기준선(B)",IF(AND(B7=0,C7=0),"",IF(AND(B7&lt;가정!$B$7,C7&lt;가정!$B$8),"판단 보류",IF(E7=0,IF(B7&gt;=가정!$B$7,"중단 검토(유효상담 0)","판단 보류"),IF(B7/E7&gt;2*가정!$B$14,"중단",IF(B7/E7&lt;=가정!$B$14,"증액(주 20~30%)","유지·소재 1개 교체"))))))</f>
        <v/>
      </c>
      <c r="M7" s="2" t="str">
        <f aca="false">IF(MAX(주간기록!$A:$A)&lt;가정!$B$9,"8주 차 이후 판정",IF(G7=0,IF(B7&gt;가정!$B$12,"중단 검토(계약 0)","-"),IF((B7+H7)/G7&gt;가정!$B$12,"중단","유지")))</f>
        <v>8주 차 이후 판정</v>
      </c>
    </row>
    <row r="8" customFormat="false" ht="15" hidden="false" customHeight="false" outlineLevel="0" collapsed="false">
      <c r="A8" s="5" t="s">
        <v>74</v>
      </c>
      <c r="B8" s="21" t="n">
        <f aca="false">SUMIFS(주간기록!$E:$E,주간기록!$D:$D,$A8)</f>
        <v>0</v>
      </c>
      <c r="C8" s="22" t="n">
        <f aca="false">SUMIFS(주간기록!$F:$F,주간기록!$D:$D,$A8)</f>
        <v>0</v>
      </c>
      <c r="D8" s="22" t="n">
        <f aca="false">SUMIFS(주간기록!$G:$G,주간기록!$D:$D,$A8)</f>
        <v>0</v>
      </c>
      <c r="E8" s="22" t="n">
        <f aca="false">SUMIFS(주간기록!$H:$H,주간기록!$D:$D,$A8)</f>
        <v>0</v>
      </c>
      <c r="F8" s="22" t="n">
        <f aca="false">SUMIFS(주간기록!$I:$I,주간기록!$D:$D,$A8)</f>
        <v>0</v>
      </c>
      <c r="G8" s="22" t="n">
        <f aca="false">SUMIFS(주간기록!$J:$J,주간기록!$D:$D,$A8)</f>
        <v>0</v>
      </c>
      <c r="H8" s="21" t="n">
        <f aca="false">SUMIFS(주간기록!$K:$K,주간기록!$D:$D,$A8)</f>
        <v>0</v>
      </c>
      <c r="I8" s="10" t="str">
        <f aca="false">IF(C8=0,"",B8/C8)</f>
        <v/>
      </c>
      <c r="J8" s="10" t="str">
        <f aca="false">IF(E8=0,"",B8/E8)</f>
        <v/>
      </c>
      <c r="K8" s="10" t="str">
        <f aca="false">IF(G8=0,"",(B8+H8)/G8)</f>
        <v/>
      </c>
      <c r="L8" s="5" t="str">
        <f aca="false">IF(A8="구매DB","기준선(B)",IF(AND(B8=0,C8=0),"",IF(AND(B8&lt;가정!$B$7,C8&lt;가정!$B$8),"판단 보류",IF(E8=0,IF(B8&gt;=가정!$B$7,"중단 검토(유효상담 0)","판단 보류"),IF(B8/E8&gt;2*가정!$B$14,"중단",IF(B8/E8&lt;=가정!$B$14,"증액(주 20~30%)","유지·소재 1개 교체"))))))</f>
        <v/>
      </c>
      <c r="M8" s="2" t="str">
        <f aca="false">IF(MAX(주간기록!$A:$A)&lt;가정!$B$9,"8주 차 이후 판정",IF(G8=0,IF(B8&gt;가정!$B$12,"중단 검토(계약 0)","-"),IF((B8+H8)/G8&gt;가정!$B$12,"중단","유지")))</f>
        <v>8주 차 이후 판정</v>
      </c>
    </row>
    <row r="9" customFormat="false" ht="15" hidden="false" customHeight="false" outlineLevel="0" collapsed="false">
      <c r="A9" s="5" t="s">
        <v>75</v>
      </c>
      <c r="B9" s="21" t="n">
        <f aca="false">SUMIFS(주간기록!$E:$E,주간기록!$D:$D,$A9)</f>
        <v>0</v>
      </c>
      <c r="C9" s="22" t="n">
        <f aca="false">SUMIFS(주간기록!$F:$F,주간기록!$D:$D,$A9)</f>
        <v>0</v>
      </c>
      <c r="D9" s="22" t="n">
        <f aca="false">SUMIFS(주간기록!$G:$G,주간기록!$D:$D,$A9)</f>
        <v>0</v>
      </c>
      <c r="E9" s="22" t="n">
        <f aca="false">SUMIFS(주간기록!$H:$H,주간기록!$D:$D,$A9)</f>
        <v>0</v>
      </c>
      <c r="F9" s="22" t="n">
        <f aca="false">SUMIFS(주간기록!$I:$I,주간기록!$D:$D,$A9)</f>
        <v>0</v>
      </c>
      <c r="G9" s="22" t="n">
        <f aca="false">SUMIFS(주간기록!$J:$J,주간기록!$D:$D,$A9)</f>
        <v>0</v>
      </c>
      <c r="H9" s="21" t="n">
        <f aca="false">SUMIFS(주간기록!$K:$K,주간기록!$D:$D,$A9)</f>
        <v>0</v>
      </c>
      <c r="I9" s="10" t="str">
        <f aca="false">IF(C9=0,"",B9/C9)</f>
        <v/>
      </c>
      <c r="J9" s="10" t="str">
        <f aca="false">IF(E9=0,"",B9/E9)</f>
        <v/>
      </c>
      <c r="K9" s="10" t="str">
        <f aca="false">IF(G9=0,"",(B9+H9)/G9)</f>
        <v/>
      </c>
      <c r="L9" s="5" t="str">
        <f aca="false">IF(A9="구매DB","기준선(B)",IF(AND(B9=0,C9=0),"",IF(AND(B9&lt;가정!$B$7,C9&lt;가정!$B$8),"판단 보류",IF(E9=0,IF(B9&gt;=가정!$B$7,"중단 검토(유효상담 0)","판단 보류"),IF(B9/E9&gt;2*가정!$B$14,"중단",IF(B9/E9&lt;=가정!$B$14,"증액(주 20~30%)","유지·소재 1개 교체"))))))</f>
        <v/>
      </c>
      <c r="M9" s="2" t="str">
        <f aca="false">IF(MAX(주간기록!$A:$A)&lt;가정!$B$9,"8주 차 이후 판정",IF(G9=0,IF(B9&gt;가정!$B$12,"중단 검토(계약 0)","-"),IF((B9+H9)/G9&gt;가정!$B$12,"중단","유지")))</f>
        <v>8주 차 이후 판정</v>
      </c>
    </row>
    <row r="10" customFormat="false" ht="15" hidden="false" customHeight="false" outlineLevel="0" collapsed="false">
      <c r="A10" s="5" t="s">
        <v>76</v>
      </c>
      <c r="B10" s="21" t="n">
        <f aca="false">SUMIFS(주간기록!$E:$E,주간기록!$D:$D,$A10)</f>
        <v>0</v>
      </c>
      <c r="C10" s="22" t="n">
        <f aca="false">SUMIFS(주간기록!$F:$F,주간기록!$D:$D,$A10)</f>
        <v>0</v>
      </c>
      <c r="D10" s="22" t="n">
        <f aca="false">SUMIFS(주간기록!$G:$G,주간기록!$D:$D,$A10)</f>
        <v>0</v>
      </c>
      <c r="E10" s="22" t="n">
        <f aca="false">SUMIFS(주간기록!$H:$H,주간기록!$D:$D,$A10)</f>
        <v>0</v>
      </c>
      <c r="F10" s="22" t="n">
        <f aca="false">SUMIFS(주간기록!$I:$I,주간기록!$D:$D,$A10)</f>
        <v>0</v>
      </c>
      <c r="G10" s="22" t="n">
        <f aca="false">SUMIFS(주간기록!$J:$J,주간기록!$D:$D,$A10)</f>
        <v>0</v>
      </c>
      <c r="H10" s="21" t="n">
        <f aca="false">SUMIFS(주간기록!$K:$K,주간기록!$D:$D,$A10)</f>
        <v>0</v>
      </c>
      <c r="I10" s="10" t="str">
        <f aca="false">IF(C10=0,"",B10/C10)</f>
        <v/>
      </c>
      <c r="J10" s="10" t="str">
        <f aca="false">IF(E10=0,"",B10/E10)</f>
        <v/>
      </c>
      <c r="K10" s="10" t="str">
        <f aca="false">IF(G10=0,"",(B10+H10)/G10)</f>
        <v/>
      </c>
      <c r="L10" s="5" t="str">
        <f aca="false">IF(A10="구매DB","기준선(B)",IF(AND(B10=0,C10=0),"",IF(AND(B10&lt;가정!$B$7,C10&lt;가정!$B$8),"판단 보류",IF(E10=0,IF(B10&gt;=가정!$B$7,"중단 검토(유효상담 0)","판단 보류"),IF(B10/E10&gt;2*가정!$B$14,"중단",IF(B10/E10&lt;=가정!$B$14,"증액(주 20~30%)","유지·소재 1개 교체"))))))</f>
        <v/>
      </c>
      <c r="M10" s="2" t="str">
        <f aca="false">IF(MAX(주간기록!$A:$A)&lt;가정!$B$9,"8주 차 이후 판정",IF(G10=0,IF(B10&gt;가정!$B$12,"중단 검토(계약 0)","-"),IF((B10+H10)/G10&gt;가정!$B$12,"중단","유지")))</f>
        <v>8주 차 이후 판정</v>
      </c>
    </row>
    <row r="11" customFormat="false" ht="15" hidden="false" customHeight="false" outlineLevel="0" collapsed="false">
      <c r="A11" s="5" t="s">
        <v>77</v>
      </c>
      <c r="B11" s="21" t="n">
        <f aca="false">SUMIFS(주간기록!$E:$E,주간기록!$D:$D,$A11)</f>
        <v>0</v>
      </c>
      <c r="C11" s="22" t="n">
        <f aca="false">SUMIFS(주간기록!$F:$F,주간기록!$D:$D,$A11)</f>
        <v>0</v>
      </c>
      <c r="D11" s="22" t="n">
        <f aca="false">SUMIFS(주간기록!$G:$G,주간기록!$D:$D,$A11)</f>
        <v>0</v>
      </c>
      <c r="E11" s="22" t="n">
        <f aca="false">SUMIFS(주간기록!$H:$H,주간기록!$D:$D,$A11)</f>
        <v>0</v>
      </c>
      <c r="F11" s="22" t="n">
        <f aca="false">SUMIFS(주간기록!$I:$I,주간기록!$D:$D,$A11)</f>
        <v>0</v>
      </c>
      <c r="G11" s="22" t="n">
        <f aca="false">SUMIFS(주간기록!$J:$J,주간기록!$D:$D,$A11)</f>
        <v>0</v>
      </c>
      <c r="H11" s="21" t="n">
        <f aca="false">SUMIFS(주간기록!$K:$K,주간기록!$D:$D,$A11)</f>
        <v>0</v>
      </c>
      <c r="I11" s="10" t="str">
        <f aca="false">IF(C11=0,"",B11/C11)</f>
        <v/>
      </c>
      <c r="J11" s="10" t="str">
        <f aca="false">IF(E11=0,"",B11/E11)</f>
        <v/>
      </c>
      <c r="K11" s="10" t="str">
        <f aca="false">IF(G11=0,"",(B11+H11)/G11)</f>
        <v/>
      </c>
      <c r="L11" s="5" t="str">
        <f aca="false">IF(A11="구매DB","기준선(B)",IF(AND(B11=0,C11=0),"",IF(AND(B11&lt;가정!$B$7,C11&lt;가정!$B$8),"판단 보류",IF(E11=0,IF(B11&gt;=가정!$B$7,"중단 검토(유효상담 0)","판단 보류"),IF(B11/E11&gt;2*가정!$B$14,"중단",IF(B11/E11&lt;=가정!$B$14,"증액(주 20~30%)","유지·소재 1개 교체"))))))</f>
        <v/>
      </c>
      <c r="M11" s="2" t="str">
        <f aca="false">IF(MAX(주간기록!$A:$A)&lt;가정!$B$9,"8주 차 이후 판정",IF(G11=0,IF(B11&gt;가정!$B$12,"중단 검토(계약 0)","-"),IF((B11+H11)/G11&gt;가정!$B$12,"중단","유지")))</f>
        <v>8주 차 이후 판정</v>
      </c>
    </row>
    <row r="12" customFormat="false" ht="15" hidden="false" customHeight="false" outlineLevel="0" collapsed="false">
      <c r="A12" s="5" t="s">
        <v>78</v>
      </c>
      <c r="B12" s="21" t="n">
        <f aca="false">SUMIFS(주간기록!$E:$E,주간기록!$D:$D,$A12)</f>
        <v>0</v>
      </c>
      <c r="C12" s="22" t="n">
        <f aca="false">SUMIFS(주간기록!$F:$F,주간기록!$D:$D,$A12)</f>
        <v>0</v>
      </c>
      <c r="D12" s="22" t="n">
        <f aca="false">SUMIFS(주간기록!$G:$G,주간기록!$D:$D,$A12)</f>
        <v>0</v>
      </c>
      <c r="E12" s="22" t="n">
        <f aca="false">SUMIFS(주간기록!$H:$H,주간기록!$D:$D,$A12)</f>
        <v>0</v>
      </c>
      <c r="F12" s="22" t="n">
        <f aca="false">SUMIFS(주간기록!$I:$I,주간기록!$D:$D,$A12)</f>
        <v>0</v>
      </c>
      <c r="G12" s="22" t="n">
        <f aca="false">SUMIFS(주간기록!$J:$J,주간기록!$D:$D,$A12)</f>
        <v>0</v>
      </c>
      <c r="H12" s="21" t="n">
        <f aca="false">SUMIFS(주간기록!$K:$K,주간기록!$D:$D,$A12)</f>
        <v>0</v>
      </c>
      <c r="I12" s="10" t="str">
        <f aca="false">IF(C12=0,"",B12/C12)</f>
        <v/>
      </c>
      <c r="J12" s="10" t="str">
        <f aca="false">IF(E12=0,"",B12/E12)</f>
        <v/>
      </c>
      <c r="K12" s="10" t="str">
        <f aca="false">IF(G12=0,"",(B12+H12)/G12)</f>
        <v/>
      </c>
      <c r="L12" s="5" t="str">
        <f aca="false">IF(A12="구매DB","기준선(B)",IF(AND(B12=0,C12=0),"",IF(AND(B12&lt;가정!$B$7,C12&lt;가정!$B$8),"판단 보류",IF(E12=0,IF(B12&gt;=가정!$B$7,"중단 검토(유효상담 0)","판단 보류"),IF(B12/E12&gt;2*가정!$B$14,"중단",IF(B12/E12&lt;=가정!$B$14,"증액(주 20~30%)","유지·소재 1개 교체"))))))</f>
        <v/>
      </c>
      <c r="M12" s="2" t="str">
        <f aca="false">IF(MAX(주간기록!$A:$A)&lt;가정!$B$9,"8주 차 이후 판정",IF(G12=0,IF(B12&gt;가정!$B$12,"중단 검토(계약 0)","-"),IF((B12+H12)/G12&gt;가정!$B$12,"중단","유지")))</f>
        <v>8주 차 이후 판정</v>
      </c>
    </row>
    <row r="13" customFormat="false" ht="15" hidden="false" customHeight="false" outlineLevel="0" collapsed="false">
      <c r="A13" s="5" t="s">
        <v>79</v>
      </c>
      <c r="B13" s="21" t="n">
        <f aca="false">SUMIFS(주간기록!$E:$E,주간기록!$D:$D,$A13)</f>
        <v>0</v>
      </c>
      <c r="C13" s="22" t="n">
        <f aca="false">SUMIFS(주간기록!$F:$F,주간기록!$D:$D,$A13)</f>
        <v>0</v>
      </c>
      <c r="D13" s="22" t="n">
        <f aca="false">SUMIFS(주간기록!$G:$G,주간기록!$D:$D,$A13)</f>
        <v>0</v>
      </c>
      <c r="E13" s="22" t="n">
        <f aca="false">SUMIFS(주간기록!$H:$H,주간기록!$D:$D,$A13)</f>
        <v>0</v>
      </c>
      <c r="F13" s="22" t="n">
        <f aca="false">SUMIFS(주간기록!$I:$I,주간기록!$D:$D,$A13)</f>
        <v>0</v>
      </c>
      <c r="G13" s="22" t="n">
        <f aca="false">SUMIFS(주간기록!$J:$J,주간기록!$D:$D,$A13)</f>
        <v>0</v>
      </c>
      <c r="H13" s="21" t="n">
        <f aca="false">SUMIFS(주간기록!$K:$K,주간기록!$D:$D,$A13)</f>
        <v>0</v>
      </c>
      <c r="I13" s="10" t="str">
        <f aca="false">IF(C13=0,"",B13/C13)</f>
        <v/>
      </c>
      <c r="J13" s="10" t="str">
        <f aca="false">IF(E13=0,"",B13/E13)</f>
        <v/>
      </c>
      <c r="K13" s="10" t="str">
        <f aca="false">IF(G13=0,"",(B13+H13)/G13)</f>
        <v/>
      </c>
      <c r="L13" s="5" t="str">
        <f aca="false">IF(A13="구매DB","기준선(B)",IF(AND(B13=0,C13=0),"",IF(AND(B13&lt;가정!$B$7,C13&lt;가정!$B$8),"판단 보류",IF(E13=0,IF(B13&gt;=가정!$B$7,"중단 검토(유효상담 0)","판단 보류"),IF(B13/E13&gt;2*가정!$B$14,"중단",IF(B13/E13&lt;=가정!$B$14,"증액(주 20~30%)","유지·소재 1개 교체"))))))</f>
        <v/>
      </c>
      <c r="M13" s="2" t="str">
        <f aca="false">IF(MAX(주간기록!$A:$A)&lt;가정!$B$9,"8주 차 이후 판정",IF(G13=0,IF(B13&gt;가정!$B$12,"중단 검토(계약 0)","-"),IF((B13+H13)/G13&gt;가정!$B$12,"중단","유지")))</f>
        <v>8주 차 이후 판정</v>
      </c>
    </row>
    <row r="14" customFormat="false" ht="15" hidden="false" customHeight="false" outlineLevel="0" collapsed="false">
      <c r="A14" s="1" t="s">
        <v>80</v>
      </c>
      <c r="B14" s="23" t="n">
        <f aca="false">SUM(B2:B13)</f>
        <v>835000</v>
      </c>
      <c r="C14" s="24" t="n">
        <f aca="false">SUM(C2:C13)</f>
        <v>21</v>
      </c>
      <c r="D14" s="24" t="n">
        <f aca="false">SUM(D2:D13)</f>
        <v>10</v>
      </c>
      <c r="E14" s="24" t="n">
        <f aca="false">SUM(E2:E13)</f>
        <v>5</v>
      </c>
      <c r="F14" s="24" t="n">
        <f aca="false">SUM(F2:F13)</f>
        <v>2</v>
      </c>
      <c r="G14" s="24" t="n">
        <f aca="false">SUM(G2:G13)</f>
        <v>0</v>
      </c>
      <c r="H14" s="23" t="n">
        <f aca="false">SUM(H2:H13)</f>
        <v>0</v>
      </c>
      <c r="I14" s="25" t="n">
        <f aca="false">IF(C14=0,"",B14/C14)</f>
        <v>39761.9047619048</v>
      </c>
      <c r="J14" s="25" t="n">
        <f aca="false">IF(E14=0,"",B14/E14)</f>
        <v>167000</v>
      </c>
      <c r="K14" s="25" t="str">
        <f aca="false">IF(G14=0,"",(B14+H14)/G14)</f>
        <v/>
      </c>
      <c r="L14" s="9"/>
      <c r="M14" s="9"/>
    </row>
  </sheetData>
  <conditionalFormatting sqref="L2:M13">
    <cfRule type="expression" priority="2" aboveAverage="0" equalAverage="0" bottom="0" percent="0" rank="0" text="" dxfId="0">
      <formula>LEFT(L2,2)="중단"</formula>
    </cfRule>
  </conditionalFormatting>
  <conditionalFormatting sqref="L2:L13">
    <cfRule type="expression" priority="3" aboveAverage="0" equalAverage="0" bottom="0" percent="0" rank="0" text="" dxfId="1">
      <formula>LEFT(L2,2)="증액"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0"/>
    <col collapsed="false" customWidth="true" hidden="false" outlineLevel="0" max="3" min="3" style="0" width="13"/>
    <col collapsed="false" customWidth="true" hidden="false" outlineLevel="0" max="4" min="4" style="0" width="14"/>
    <col collapsed="false" customWidth="true" hidden="false" outlineLevel="0" max="5" min="5" style="0" width="13"/>
    <col collapsed="false" customWidth="true" hidden="false" outlineLevel="0" max="6" min="6" style="0" width="12"/>
    <col collapsed="false" customWidth="true" hidden="false" outlineLevel="0" max="8" min="7" style="0" width="14"/>
    <col collapsed="false" customWidth="true" hidden="false" outlineLevel="0" max="9" min="9" style="0" width="10"/>
    <col collapsed="false" customWidth="true" hidden="false" outlineLevel="0" max="11" min="11" style="0" width="14"/>
  </cols>
  <sheetData>
    <row r="1" customFormat="false" ht="28.35" hidden="false" customHeight="false" outlineLevel="0" collapsed="false">
      <c r="A1" s="12" t="s">
        <v>81</v>
      </c>
      <c r="B1" s="12" t="s">
        <v>82</v>
      </c>
      <c r="C1" s="12" t="s">
        <v>83</v>
      </c>
      <c r="D1" s="12" t="s">
        <v>84</v>
      </c>
      <c r="E1" s="12" t="s">
        <v>45</v>
      </c>
      <c r="F1" s="12" t="s">
        <v>85</v>
      </c>
      <c r="G1" s="12" t="s">
        <v>86</v>
      </c>
      <c r="H1" s="12" t="s">
        <v>87</v>
      </c>
      <c r="I1" s="12" t="s">
        <v>88</v>
      </c>
      <c r="J1" s="9"/>
      <c r="K1" s="4" t="s">
        <v>89</v>
      </c>
    </row>
    <row r="2" customFormat="false" ht="15" hidden="false" customHeight="false" outlineLevel="0" collapsed="false">
      <c r="A2" s="2" t="s">
        <v>90</v>
      </c>
      <c r="B2" s="8"/>
      <c r="C2" s="21" t="n">
        <f aca="false">가정!$B$2</f>
        <v>1300000</v>
      </c>
      <c r="D2" s="10" t="n">
        <f aca="false">B2*C2</f>
        <v>0</v>
      </c>
      <c r="E2" s="6"/>
      <c r="F2" s="21" t="n">
        <f aca="false">가정!$B$5</f>
        <v>250000</v>
      </c>
      <c r="G2" s="10" t="n">
        <f aca="false">D2-E2-F2</f>
        <v>-250000</v>
      </c>
      <c r="H2" s="26" t="n">
        <f aca="false">IFERROR((E2+F2)/C2,0)</f>
        <v>0.192307692307692</v>
      </c>
      <c r="I2" s="2" t="str">
        <f aca="false">IF(B2="","",IF(B2&gt;=K2,"목표 달성","미달"))</f>
        <v/>
      </c>
      <c r="J2" s="9"/>
      <c r="K2" s="27" t="n">
        <v>2</v>
      </c>
    </row>
    <row r="3" customFormat="false" ht="15" hidden="false" customHeight="false" outlineLevel="0" collapsed="false">
      <c r="A3" s="2" t="s">
        <v>91</v>
      </c>
      <c r="B3" s="8"/>
      <c r="C3" s="21" t="n">
        <f aca="false">가정!$B$2</f>
        <v>1300000</v>
      </c>
      <c r="D3" s="10" t="n">
        <f aca="false">B3*C3</f>
        <v>0</v>
      </c>
      <c r="E3" s="6"/>
      <c r="F3" s="21" t="n">
        <f aca="false">가정!$B$5</f>
        <v>250000</v>
      </c>
      <c r="G3" s="10" t="n">
        <f aca="false">D3-E3-F3</f>
        <v>-250000</v>
      </c>
      <c r="H3" s="26" t="n">
        <f aca="false">IFERROR((E3+F3)/C3,0)</f>
        <v>0.192307692307692</v>
      </c>
      <c r="I3" s="2" t="str">
        <f aca="false">IF(B3="","",IF(B3&gt;=K3,"목표 달성","미달"))</f>
        <v/>
      </c>
      <c r="J3" s="9"/>
      <c r="K3" s="27" t="n">
        <v>3</v>
      </c>
    </row>
    <row r="4" customFormat="false" ht="15" hidden="false" customHeight="false" outlineLevel="0" collapsed="false">
      <c r="A4" s="2" t="s">
        <v>92</v>
      </c>
      <c r="B4" s="8"/>
      <c r="C4" s="21" t="n">
        <f aca="false">가정!$B$2</f>
        <v>1300000</v>
      </c>
      <c r="D4" s="10" t="n">
        <f aca="false">B4*C4</f>
        <v>0</v>
      </c>
      <c r="E4" s="6"/>
      <c r="F4" s="21" t="n">
        <f aca="false">가정!$B$5</f>
        <v>250000</v>
      </c>
      <c r="G4" s="10" t="n">
        <f aca="false">D4-E4-F4</f>
        <v>-250000</v>
      </c>
      <c r="H4" s="26" t="n">
        <f aca="false">IFERROR((E4+F4)/C4,0)</f>
        <v>0.192307692307692</v>
      </c>
      <c r="I4" s="2" t="str">
        <f aca="false">IF(B4="","",IF(B4&gt;=K4,"목표 달성","미달"))</f>
        <v/>
      </c>
      <c r="J4" s="9"/>
      <c r="K4" s="27" t="n">
        <v>4</v>
      </c>
    </row>
    <row r="5" customFormat="false" ht="15" hidden="false" customHeight="false" outlineLevel="0" collapsed="false">
      <c r="A5" s="2" t="s">
        <v>93</v>
      </c>
      <c r="B5" s="8"/>
      <c r="C5" s="21" t="n">
        <f aca="false">가정!$B$2</f>
        <v>1300000</v>
      </c>
      <c r="D5" s="10" t="n">
        <f aca="false">B5*C5</f>
        <v>0</v>
      </c>
      <c r="E5" s="6"/>
      <c r="F5" s="21" t="n">
        <f aca="false">가정!$B$5</f>
        <v>250000</v>
      </c>
      <c r="G5" s="10" t="n">
        <f aca="false">D5-E5-F5</f>
        <v>-250000</v>
      </c>
      <c r="H5" s="26" t="n">
        <f aca="false">IFERROR((E5+F5)/C5,0)</f>
        <v>0.192307692307692</v>
      </c>
      <c r="I5" s="2" t="str">
        <f aca="false">IF(B5="","",IF(B5&gt;=K5,"목표 달성","미달"))</f>
        <v/>
      </c>
      <c r="J5" s="9"/>
      <c r="K5" s="27" t="n">
        <v>5</v>
      </c>
    </row>
    <row r="6" customFormat="false" ht="15" hidden="false" customHeight="false" outlineLevel="0" collapsed="false">
      <c r="A6" s="2" t="s">
        <v>94</v>
      </c>
      <c r="B6" s="8"/>
      <c r="C6" s="21" t="n">
        <f aca="false">가정!$B$2</f>
        <v>1300000</v>
      </c>
      <c r="D6" s="10" t="n">
        <f aca="false">B6*C6</f>
        <v>0</v>
      </c>
      <c r="E6" s="6"/>
      <c r="F6" s="21" t="n">
        <f aca="false">가정!$B$5</f>
        <v>250000</v>
      </c>
      <c r="G6" s="10" t="n">
        <f aca="false">D6-E6-F6</f>
        <v>-250000</v>
      </c>
      <c r="H6" s="26" t="n">
        <f aca="false">IFERROR((E6+F6)/C6,0)</f>
        <v>0.192307692307692</v>
      </c>
      <c r="I6" s="2" t="str">
        <f aca="false">IF(B6="","",IF(B6&gt;=K6,"목표 달성","미달"))</f>
        <v/>
      </c>
      <c r="J6" s="9"/>
      <c r="K6" s="27" t="n">
        <v>6</v>
      </c>
    </row>
    <row r="7" customFormat="false" ht="15" hidden="false" customHeight="false" outlineLevel="0" collapsed="false">
      <c r="A7" s="2" t="s">
        <v>95</v>
      </c>
      <c r="B7" s="8"/>
      <c r="C7" s="21" t="n">
        <f aca="false">가정!$B$2</f>
        <v>1300000</v>
      </c>
      <c r="D7" s="10" t="n">
        <f aca="false">B7*C7</f>
        <v>0</v>
      </c>
      <c r="E7" s="6"/>
      <c r="F7" s="21" t="n">
        <f aca="false">가정!$B$5</f>
        <v>250000</v>
      </c>
      <c r="G7" s="10" t="n">
        <f aca="false">D7-E7-F7</f>
        <v>-250000</v>
      </c>
      <c r="H7" s="26" t="n">
        <f aca="false">IFERROR((E7+F7)/C7,0)</f>
        <v>0.192307692307692</v>
      </c>
      <c r="I7" s="2" t="str">
        <f aca="false">IF(B7="","",IF(B7&gt;=K7,"목표 달성","미달"))</f>
        <v/>
      </c>
      <c r="J7" s="9"/>
      <c r="K7" s="27" t="n">
        <v>7</v>
      </c>
    </row>
    <row r="8" customFormat="false" ht="15" hidden="false" customHeight="false" outlineLevel="0" collapsed="false">
      <c r="A8" s="9"/>
      <c r="B8" s="9"/>
      <c r="C8" s="9"/>
      <c r="D8" s="9"/>
      <c r="E8" s="9"/>
      <c r="F8" s="9"/>
      <c r="G8" s="9"/>
      <c r="H8" s="9"/>
      <c r="I8" s="9"/>
      <c r="J8" s="9"/>
      <c r="K8" s="9"/>
    </row>
    <row r="9" customFormat="false" ht="15" hidden="false" customHeight="false" outlineLevel="0" collapsed="false">
      <c r="A9" s="28" t="s">
        <v>96</v>
      </c>
      <c r="B9" s="9"/>
      <c r="C9" s="9"/>
      <c r="D9" s="9"/>
      <c r="E9" s="9"/>
      <c r="F9" s="9"/>
      <c r="G9" s="9"/>
      <c r="H9" s="9"/>
      <c r="I9" s="9"/>
      <c r="J9" s="9"/>
      <c r="K9" s="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2026-10-13T14:25:47Z</dcterms:created>
  <dc:creator>openpyxl</dc:creator>
  <dc:description/>
  <dc:language>en-US</dc:language>
  <cp:lastModifiedBy/>
  <dcterms:modified xsi:type="dcterms:W3CDTF">2026-10-13T14:25:47Z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